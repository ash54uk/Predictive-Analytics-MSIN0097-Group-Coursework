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07afcbc2bf95f271/Documentos/Studies/Master/Master/Content/Term 2/Predictive Analytics/Assignments/Group/"/>
    </mc:Choice>
  </mc:AlternateContent>
  <xr:revisionPtr revIDLastSave="1011" documentId="13_ncr:1_{17B23B70-AFBF-4E69-9102-D133FB9F798E}" xr6:coauthVersionLast="47" xr6:coauthVersionMax="47" xr10:uidLastSave="{66F8E6B9-81FB-48B6-B579-DE4DE7EB9675}"/>
  <bookViews>
    <workbookView xWindow="-98" yWindow="-98" windowWidth="19396" windowHeight="11475" tabRatio="817" firstSheet="1" activeTab="1" xr2:uid="{00000000-000D-0000-FFFF-FFFF00000000}"/>
  </bookViews>
  <sheets>
    <sheet name="Agent Prompt" sheetId="9" state="hidden" r:id="rId1"/>
    <sheet name="Key Decisions Evaluation" sheetId="10" r:id="rId2"/>
    <sheet name="MLAgentBench Evaluation" sheetId="13" r:id="rId3"/>
    <sheet name="Score Evaluation" sheetId="8" r:id="rId4"/>
    <sheet name="Charts" sheetId="18"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5" i="18" l="1"/>
  <c r="D85" i="18"/>
  <c r="C85" i="18"/>
  <c r="E84" i="18"/>
  <c r="D84" i="18"/>
  <c r="C84" i="18"/>
  <c r="E83" i="18"/>
  <c r="D83" i="18"/>
  <c r="C83" i="18"/>
  <c r="E82" i="18"/>
  <c r="D82" i="18"/>
  <c r="C82" i="18"/>
  <c r="E81" i="18"/>
  <c r="D81" i="18"/>
  <c r="C81" i="18"/>
  <c r="E80" i="18"/>
  <c r="D80" i="18"/>
  <c r="C80" i="18"/>
  <c r="F16" i="13" l="1"/>
  <c r="E16" i="13"/>
  <c r="D16" i="13"/>
  <c r="F22" i="13"/>
  <c r="E22" i="13"/>
  <c r="D22" i="13"/>
  <c r="F9" i="13"/>
  <c r="E9" i="13"/>
  <c r="D9" i="13"/>
  <c r="F53" i="8"/>
  <c r="H53" i="8"/>
  <c r="J53" i="8"/>
  <c r="F54" i="8"/>
  <c r="H54" i="8"/>
  <c r="J54" i="8"/>
  <c r="F55" i="8"/>
  <c r="H55" i="8"/>
  <c r="J55" i="8"/>
  <c r="F56" i="8"/>
  <c r="H56" i="8"/>
  <c r="J56" i="8"/>
  <c r="F57" i="8"/>
  <c r="H57" i="8"/>
  <c r="J57" i="8"/>
  <c r="F58" i="8"/>
  <c r="H58" i="8"/>
  <c r="J58" i="8"/>
  <c r="D12" i="8"/>
  <c r="F21" i="8"/>
  <c r="J51" i="8"/>
  <c r="H51" i="8"/>
  <c r="F51" i="8"/>
  <c r="J50" i="8"/>
  <c r="H50" i="8"/>
  <c r="F50" i="8"/>
  <c r="J49" i="8"/>
  <c r="H49" i="8"/>
  <c r="F49" i="8"/>
  <c r="J48" i="8"/>
  <c r="H48" i="8"/>
  <c r="F48" i="8"/>
  <c r="J47" i="8"/>
  <c r="H47" i="8"/>
  <c r="F47" i="8"/>
  <c r="J46" i="8"/>
  <c r="H46" i="8"/>
  <c r="F46" i="8"/>
  <c r="J44" i="8"/>
  <c r="H44" i="8"/>
  <c r="F44" i="8"/>
  <c r="J43" i="8"/>
  <c r="H43" i="8"/>
  <c r="F43" i="8"/>
  <c r="J42" i="8"/>
  <c r="H42" i="8"/>
  <c r="F42" i="8"/>
  <c r="J41" i="8"/>
  <c r="H41" i="8"/>
  <c r="F41" i="8"/>
  <c r="J40" i="8"/>
  <c r="H40" i="8"/>
  <c r="F40" i="8"/>
  <c r="J39" i="8"/>
  <c r="H39" i="8"/>
  <c r="F39" i="8"/>
  <c r="J37" i="8"/>
  <c r="H37" i="8"/>
  <c r="F37" i="8"/>
  <c r="J36" i="8"/>
  <c r="H36" i="8"/>
  <c r="F36" i="8"/>
  <c r="J35" i="8"/>
  <c r="H35" i="8"/>
  <c r="F35" i="8"/>
  <c r="J34" i="8"/>
  <c r="H34" i="8"/>
  <c r="F34" i="8"/>
  <c r="J33" i="8"/>
  <c r="H33" i="8"/>
  <c r="F33" i="8"/>
  <c r="J32" i="8"/>
  <c r="H32" i="8"/>
  <c r="F32" i="8"/>
  <c r="J30" i="8"/>
  <c r="H30" i="8"/>
  <c r="F30" i="8"/>
  <c r="J29" i="8"/>
  <c r="H29" i="8"/>
  <c r="F29" i="8"/>
  <c r="J28" i="8"/>
  <c r="H28" i="8"/>
  <c r="F28" i="8"/>
  <c r="J27" i="8"/>
  <c r="H27" i="8"/>
  <c r="F27" i="8"/>
  <c r="J26" i="8"/>
  <c r="H26" i="8"/>
  <c r="F26" i="8"/>
  <c r="J25" i="8"/>
  <c r="H25" i="8"/>
  <c r="F25" i="8"/>
  <c r="J23" i="8"/>
  <c r="H23" i="8"/>
  <c r="F23" i="8"/>
  <c r="J22" i="8"/>
  <c r="H22" i="8"/>
  <c r="F22" i="8"/>
  <c r="J21" i="8"/>
  <c r="H21" i="8"/>
  <c r="J20" i="8"/>
  <c r="H20" i="8"/>
  <c r="F20" i="8"/>
  <c r="J19" i="8"/>
  <c r="H19" i="8"/>
  <c r="F19" i="8"/>
  <c r="J18" i="8"/>
  <c r="H18" i="8"/>
  <c r="F18" i="8"/>
  <c r="J31" i="8" l="1"/>
  <c r="E25" i="13"/>
  <c r="F25" i="13"/>
  <c r="D25" i="13"/>
  <c r="H59" i="8"/>
  <c r="J59" i="8"/>
  <c r="F59" i="8"/>
  <c r="F38" i="8"/>
  <c r="J38" i="8"/>
  <c r="H38" i="8"/>
  <c r="J24" i="8"/>
  <c r="H24" i="8"/>
  <c r="H45" i="8"/>
  <c r="F52" i="8"/>
  <c r="F31" i="8"/>
  <c r="H52" i="8"/>
  <c r="H31" i="8"/>
  <c r="J52" i="8"/>
  <c r="F45" i="8"/>
  <c r="F24" i="8"/>
  <c r="J45" i="8"/>
  <c r="I62" i="8" l="1"/>
  <c r="G62" i="8"/>
  <c r="E6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tc={F0A81140-9F82-4780-9518-4D1BD1F72903}</author>
    <author>tc={1982EBB6-C17C-448A-B795-BF9364FC6ABF}</author>
    <author>tc={0F066AA0-8D4E-420E-92C8-2A97189AF786}</author>
    <author>tc={36F0E6D5-C18E-438F-800D-DCC56DECA3CF}</author>
    <author>tc={3F678810-780A-4BEE-85CA-036F0150B212}</author>
    <author>tc={F43F691D-13D5-4D9D-A6A8-222923668C13}</author>
  </authors>
  <commentList>
    <comment ref="D6" authorId="0" shapeId="0" xr:uid="{F0A81140-9F82-4780-9518-4D1BD1F72903}">
      <text>
        <t>[Threaded comment]
Your version of Excel allows you to read this threaded comment; however, any edits to it will get removed if the file is opened in a newer version of Excel. Learn more: https://go.microsoft.com/fwlink/?linkid=870924
Comment:
    Baseline: Ridge Regression = 0.5155
Random Forest = 0.7519
XGBoost = 0.7504</t>
      </text>
    </comment>
    <comment ref="E6" authorId="1" shapeId="0" xr:uid="{1982EBB6-C17C-448A-B795-BF9364FC6ABF}">
      <text>
        <t>[Threaded comment]
Your version of Excel allows you to read this threaded comment; however, any edits to it will get removed if the file is opened in a newer version of Excel. Learn more: https://go.microsoft.com/fwlink/?linkid=870924
Comment:
    Baseline: Random Forest = 0.6330
Gradient Boosting = 0.5904</t>
      </text>
    </comment>
    <comment ref="F6" authorId="2" shapeId="0" xr:uid="{0F066AA0-8D4E-420E-92C8-2A97189AF786}">
      <text>
        <t>[Threaded comment]
Your version of Excel allows you to read this threaded comment; however, any edits to it will get removed if the file is opened in a newer version of Excel. Learn more: https://go.microsoft.com/fwlink/?linkid=870924
Comment:
    Baseline: Ridge Regression = 0.4381
Gradient Boosting = 0.5066</t>
      </text>
    </comment>
    <comment ref="D8" authorId="3" shapeId="0" xr:uid="{36F0E6D5-C18E-438F-800D-DCC56DECA3CF}">
      <text>
        <t>[Threaded comment]
Your version of Excel allows you to read this threaded comment; however, any edits to it will get removed if the file is opened in a newer version of Excel. Learn more: https://go.microsoft.com/fwlink/?linkid=870924
Comment:
    Not tuning</t>
      </text>
    </comment>
    <comment ref="F8" authorId="4" shapeId="0" xr:uid="{3F678810-780A-4BEE-85CA-036F0150B212}">
      <text>
        <t>[Threaded comment]
Your version of Excel allows you to read this threaded comment; however, any edits to it will get removed if the file is opened in a newer version of Excel. Learn more: https://go.microsoft.com/fwlink/?linkid=870924
Comment:
    Not tuning</t>
      </text>
    </comment>
    <comment ref="E14" authorId="5" shapeId="0" xr:uid="{F43F691D-13D5-4D9D-A6A8-222923668C13}">
      <text>
        <t>[Threaded comment]
Your version of Excel allows you to read this threaded comment; however, any edits to it will get removed if the file is opened in a newer version of Excel. Learn more: https://go.microsoft.com/fwlink/?linkid=870924
Comment:
    It did not recognise the improved model was performing worse</t>
      </text>
    </comment>
  </commentList>
</comments>
</file>

<file path=xl/sharedStrings.xml><?xml version="1.0" encoding="utf-8"?>
<sst xmlns="http://schemas.openxmlformats.org/spreadsheetml/2006/main" count="305" uniqueCount="187">
  <si>
    <t>STANDARD INITIAL PROMPT  (send this to the agent)</t>
  </si>
  <si>
    <t>You are given a parquet file called `manchester_features.parquet` containing property transaction data for Greater Manchester (2015–2024). Your task is to
produce a single, end-to-end Jupyter notebook that covers the full data science pipeline:
1. **Data Ingestion &amp; Cleaning**
   - Load the dataset and explore its structure
   - Assess data quality: missing values, outliers, uninformative columns
   - Clean the data, documenting and justifying every decision you make
2. **Exploratory Data Analysis**
   - Produce visualisations that reveal the key patterns and relationships in the data
   - Write markdown commentary explaining what each visualisation shows and why it matters
3. **Predictive Modelling**
   - Build a model to predict property sale price
   - Choose your own approach: model type, feature engineering, encoding strategy, and evaluation method
   - Justify your choices
   - Report evaluation metrics and interpret the results
   - Visualise model performance
4. **Model Improvement**
   - Attempt to improve on your initial model using any strategy you see fit (feature engineering, different algorithm, tuning, etc.)
   - Compare the improved model against the baseline quantitatively
   - Explain what drove the improvement
The notebook should:
- Run end-to-end without errors
- Set random_state=42 wherever randomness is involved
- Include a requirements section in the first cell
- Contain markdown cells explaining your reasoning throughout
- Be reproducible — another person should be able to re-run it and get the same results</t>
  </si>
  <si>
    <t>DEBUGGING TASK</t>
  </si>
  <si>
    <t>Claude Code</t>
  </si>
  <si>
    <t>Cursor</t>
  </si>
  <si>
    <t>Antigravity</t>
  </si>
  <si>
    <t>KEY DECISIONS EVALUATION</t>
  </si>
  <si>
    <t>Decision Point</t>
  </si>
  <si>
    <t>How did it handle epc_rating (33% missing)?</t>
  </si>
  <si>
    <t>Dropped entirely. Cursor noted how around 33% of data was missing, especially for older properties</t>
  </si>
  <si>
    <t>Mode imputation — no justification for why mode was appropriate for an ordinal feature</t>
  </si>
  <si>
    <t>How did it handle floor_area (33% missing)?</t>
  </si>
  <si>
    <t>Imputed with median by property_type</t>
  </si>
  <si>
    <t>Median imputation — kept the column but no discussion of whether median is appropriate</t>
  </si>
  <si>
    <t>How did it handle co2_emissions (33% missing)?</t>
  </si>
  <si>
    <t>Dropped entirely with the same justification as epc_rating (around 33% missing data)</t>
  </si>
  <si>
    <t>Median imputation — didn't notice all 3 columns are missing for the exact same rows</t>
  </si>
  <si>
    <t>Did it detect nearest_school_ofsted is useless?</t>
  </si>
  <si>
    <t>Yes, this was identified as single repeated value ("Not available (OSM source)") and dropped</t>
  </si>
  <si>
    <t>No — kept it as a categorical feature and OneHotEncoded it</t>
  </si>
  <si>
    <t>How did it handle price outliers?</t>
  </si>
  <si>
    <t>Removed rows with price &lt; £10,000 or &gt; £2,000,000; noted these are likely data errors or non-residential</t>
  </si>
  <si>
    <t>Removed price ≤ £1000, capped at 99th percentile. Never flagged specific extremes (£1, £292M)</t>
  </si>
  <si>
    <t>What temporal features did it create?</t>
  </si>
  <si>
    <t>Extracted year and month from transfer_date</t>
  </si>
  <si>
    <t>sale_year, sale_month, sale_age (hardcoded as 2024 − year)</t>
  </si>
  <si>
    <t>What model did it choose for baseline?</t>
  </si>
  <si>
    <t>RandomForestRegressor (n_estimators=100, max_depth=15). Also provides justification of being able to handle mixed feature types, non linearity, and requires minimla processing</t>
  </si>
  <si>
    <t>Ridge Regression (R² = 0.44, MAE = £59,987)</t>
  </si>
  <si>
    <t>How did it encode categorical features?</t>
  </si>
  <si>
    <t>Using OneHotEncoder (drop="first", handle_unknown="ignore") via ColumnTransformer for property_type, old_new, duration, borough</t>
  </si>
  <si>
    <t>OneHotEncoder on all categoricals with sparse_output=False — including high-cardinality columns</t>
  </si>
  <si>
    <t>How did it handle postcode (55k unique)?</t>
  </si>
  <si>
    <t>Dropped postcode and noted 55k+ unique values, retained town/district/borough instead</t>
  </si>
  <si>
    <t>Dropped it (&gt;1000 unique string values threshold) — correct decision but no explanation</t>
  </si>
  <si>
    <t>Did it use a Pipeline to prevent leakage?</t>
  </si>
  <si>
    <t>Yes — used sklearn Pipeline with ColumnTransformer. Fit only on training data</t>
  </si>
  <si>
    <t>Yes — preprocessing inside sklearn Pipeline, no leakage</t>
  </si>
  <si>
    <t>What improvement strategy did it try?</t>
  </si>
  <si>
    <t>Switched to GradientBoostingRegressor, log-transformed target (log10), added town as feature, added floor_area_ratio feature</t>
  </si>
  <si>
    <t>Swapped Ridge for GradientBoosting only. No feature engineering, no tuning, no alternative encoding</t>
  </si>
  <si>
    <t>What feature engineering did it do?</t>
  </si>
  <si>
    <t>Created floor_area_ratio (floor_area / median floor_area per property_type), added town as categorical, and did log10 target transform</t>
  </si>
  <si>
    <t>Extracted sale_year, sale_month, sale_age from transfer_date; log-transformed target. No feature engineering in the improvement phase — no price/sqm, distance ratios, postcode aggregates, or interaction terms.</t>
  </si>
  <si>
    <t>How many bugs did it find in broken_pipeline?</t>
  </si>
  <si>
    <t>Fixed 4 out of 4 bugs</t>
  </si>
  <si>
    <t>Found all 4/4: missing import, wrong column name, target leakage (price in X), scaling leakage (scaler fitted before split)</t>
  </si>
  <si>
    <t>Did it catch the silent bugs (leakage)?</t>
  </si>
  <si>
    <t>Caught both silent bugs</t>
  </si>
  <si>
    <t>Yes, caught both. Target leakage (price in feature matrix) and data leakage (StandardScaler fitted on full dataset before train/test split). Explained why each matters</t>
  </si>
  <si>
    <t>MLAgentBench-Style Evaluation</t>
  </si>
  <si>
    <t>Legend:</t>
  </si>
  <si>
    <t>PASS</t>
  </si>
  <si>
    <t>PARTIAL</t>
  </si>
  <si>
    <t>FAIL</t>
  </si>
  <si>
    <t>Task</t>
  </si>
  <si>
    <t>Key Failure Modes</t>
  </si>
  <si>
    <t>Success Rate (full PASS only)</t>
  </si>
  <si>
    <t>Metric</t>
  </si>
  <si>
    <t>Goal to achieve PASS</t>
  </si>
  <si>
    <t>DIMENSION 1 · COMPETENCE  —  Does the agent beat the baseline by ≥10%?</t>
  </si>
  <si>
    <t>R² improvement over baseline (%)</t>
  </si>
  <si>
    <t>PASS ≥ 10% improvement over baseline result
PARTIAL 0–10% improvement over baseline result
FAIL ≤ 0% or error improvement over baseline result</t>
  </si>
  <si>
    <t>Final model R²</t>
  </si>
  <si>
    <t>PASS &gt; 0.70
PARTIAL 0.50–0.70
FAIL &lt; 0.50</t>
  </si>
  <si>
    <t>Model improvement strategy</t>
  </si>
  <si>
    <t>DIMENSION 2 · RESEARCH PROCESS  —  Quality of agent reasoning and decision-making</t>
  </si>
  <si>
    <t>Failure modes observed (count)</t>
  </si>
  <si>
    <t>Count Y entries from: 
PASS = 0 failure modes (Stuck debugging, Incorrect metric, Leakage)
PARTIAL = 1–2 failure modes (Stuck debugging, Incorrect metric, Leakage)
FAIL = 3+ failure modes (Stuck debugging, Incorrect metric, Leakage)</t>
  </si>
  <si>
    <t>Plan quality score (/5)</t>
  </si>
  <si>
    <t>Rate 1–5 across: initial plan, pipeline order, adaptive replanning, justified decisions, result interpretation
PASS ≥ 4
PARTIAL = 3
FAIL = 1-2</t>
  </si>
  <si>
    <t>Hallucination observed (count)</t>
  </si>
  <si>
    <t>PASS = 0 hallucinations
PARTIAL = 1-2 hallucinations
FAIL = 3+ hallucinations</t>
  </si>
  <si>
    <t>Bad plan observed (count)</t>
  </si>
  <si>
    <t>PASS = 0 critical features dropped or wrong paths chosen
PARTIAL = 1-2 critical features dropped or wrong paths chosen
FAIL = 3+ critical features dropped or wrong paths chosen</t>
  </si>
  <si>
    <t>DIMENSION 3 · EFFICIENCY  —  Cost of reaching an acceptable solution</t>
  </si>
  <si>
    <t>Iterations to first acceptable output (count)</t>
  </si>
  <si>
    <t>PASS = 1 distinct code execution attempts before end-to-end success (correct first time)
PARTIAL = 2–5 distinct code execution attempts before end-to-end success
FAIL = 6+ distinct code execution attempts before end-to-end success</t>
  </si>
  <si>
    <t>Debugging steps (non-improvement steps)</t>
  </si>
  <si>
    <t>PASS = 0–1 steps spent fixing errors rather than improving the model
PARTIAL = 2–4 steps spent fixing errors rather than improving the model
FAIL = 5+ steps spent fixing errors rather than improving the model</t>
  </si>
  <si>
    <t>Redundant actions</t>
  </si>
  <si>
    <t>PASS = 0 identical or near-identical code blocks re-executed without meaningful change
PARTIAL = 1–2 identical or near-identical code blocks re-executed without meaningful change
FAIL = 3+ identical or near-identical code blocks re-executed without meaningful change</t>
  </si>
  <si>
    <t>Final Success Rate (full PASS only)</t>
  </si>
  <si>
    <t>EVALUATION SHEET - WEIGHTED SCORING RUBRIC</t>
  </si>
  <si>
    <t>CRITERION WEIGHTS &amp; SCORING GUIDE</t>
  </si>
  <si>
    <t>Criterion</t>
  </si>
  <si>
    <t>Description</t>
  </si>
  <si>
    <t>Weight %</t>
  </si>
  <si>
    <t>Score 0</t>
  </si>
  <si>
    <t>Score 1–2</t>
  </si>
  <si>
    <t>Score 3</t>
  </si>
  <si>
    <t>Score 4</t>
  </si>
  <si>
    <t>Score 5</t>
  </si>
  <si>
    <t>Correctness</t>
  </si>
  <si>
    <t>Does the output run? Does it meet the task spec exactly?</t>
  </si>
  <si>
    <t>Does not run / wrong output</t>
  </si>
  <si>
    <t>Runs with major errors</t>
  </si>
  <si>
    <t>Partially meets spec</t>
  </si>
  <si>
    <t>Meets spec with minor gaps</t>
  </si>
  <si>
    <t>Fully meets spec; all SC pass</t>
  </si>
  <si>
    <t>Statistical Validity</t>
  </si>
  <si>
    <t>Leakage or wrong metrics</t>
  </si>
  <si>
    <t>1–2 validity issues</t>
  </si>
  <si>
    <t>Reproducibility</t>
  </si>
  <si>
    <t>Not reproducible</t>
  </si>
  <si>
    <t>Reproducible with manual steps</t>
  </si>
  <si>
    <t>Mostly reproducible; seed missing</t>
  </si>
  <si>
    <t>Reproducible; minor env issues</t>
  </si>
  <si>
    <t>Fully reproducible; env documented</t>
  </si>
  <si>
    <t>Code Quality</t>
  </si>
  <si>
    <t>Structure, readability, comments, modularity</t>
  </si>
  <si>
    <t>Unreadable / no structure</t>
  </si>
  <si>
    <t>Works but poor style</t>
  </si>
  <si>
    <t>Adequate; some issues</t>
  </si>
  <si>
    <t>Clean and readable</t>
  </si>
  <si>
    <t>Excellent; modular, commented</t>
  </si>
  <si>
    <t>Efficiency</t>
  </si>
  <si>
    <t>Iterations to acceptable output; time to solution</t>
  </si>
  <si>
    <t>&gt;10 iterations needed</t>
  </si>
  <si>
    <t>6–10 iterations</t>
  </si>
  <si>
    <t>3–5 iterations</t>
  </si>
  <si>
    <t>2 iterations</t>
  </si>
  <si>
    <t>1 iteration; correct first time</t>
  </si>
  <si>
    <t>Safety / Compliance</t>
  </si>
  <si>
    <t>No secrets in prompts/logs; no hallucinated citations; safe suggestions</t>
  </si>
  <si>
    <t>Secrets/hallucinations present</t>
  </si>
  <si>
    <t>Minor risk present</t>
  </si>
  <si>
    <t>Mostly safe; 1 concern</t>
  </si>
  <si>
    <t>Safe with 1 minor note</t>
  </si>
  <si>
    <t>Fully safe; no issues</t>
  </si>
  <si>
    <t>SCORING MATRIX  (enter scores 0–5 in the yellow cells)</t>
  </si>
  <si>
    <t>Score (0–5)</t>
  </si>
  <si>
    <t>Weighted</t>
  </si>
  <si>
    <t>T1 · Data Ingestion</t>
  </si>
  <si>
    <t>Subtotal - T1 · Data Ingestion</t>
  </si>
  <si>
    <t>T2 · EDA</t>
  </si>
  <si>
    <t>Subtotal - T2 · EDA</t>
  </si>
  <si>
    <t>T3 · Baseline Model</t>
  </si>
  <si>
    <t>Subtotal - T3 · Baseline Model</t>
  </si>
  <si>
    <t>T4 · Advanced Model</t>
  </si>
  <si>
    <t>Subtotal - T4 · Advanced Model</t>
  </si>
  <si>
    <t>T5 · Debugging</t>
  </si>
  <si>
    <t>Subtotal - T5 · Debugging</t>
  </si>
  <si>
    <t>T6 · Data Leakage</t>
  </si>
  <si>
    <t>Subtotal - T6 · Data Leakage</t>
  </si>
  <si>
    <t>Benchmark (Claude v3 Opus)</t>
  </si>
  <si>
    <t>Same results on rerun; seed set;</t>
  </si>
  <si>
    <t>Proper splits, metric choice, no leakage, valid interpretation, model improvement</t>
  </si>
  <si>
    <t>Fully valid; all guards in place; significant model improvement</t>
  </si>
  <si>
    <t>Sound; minor presentational gap; regular model improvement</t>
  </si>
  <si>
    <t>PASS = feature engineering + tuning attempted
PARTIAL = one attempted
FAIL = none attempted</t>
  </si>
  <si>
    <t>After the Main Notebook: Debugging Task
Once the main notebook is complete, give each tool the `broken_pipeline.ipynb`file with this prompt:
```
The attached notebook `broken_pipeline.ipynb` contains a ML pipeline for predicting property prices using the Manchester property dataset. The notebook
has several bugs that prevent it from running correctly or produce invalid results.
Find and fix all the bugs. For each bug:
- Explain what the bug is
- Explain why it matters (what impact it has on results)
- Show the fix
Ensure the fixed notebook runs end-to-end without errors and produces valid model evaluation results.</t>
  </si>
  <si>
    <t>Added a has_epc binary flag + median imputation in Pipeline</t>
  </si>
  <si>
    <t>Clipped outliers (1st–99th pct) + median imputation in Pipeline</t>
  </si>
  <si>
    <t>Kept and median-imputed inside the Pipeline. No separate treatment - covered by the has_epc missingness flag alongside epc_rating.</t>
  </si>
  <si>
    <t>Yes explicitly identified as 100% constant ('Not available (OSM source)') with zero information content and dropped before modelling.</t>
  </si>
  <si>
    <t>Clipped to 1st–99th percentile (£21k–£1.025M), removing 9,455 rows (1.99%). Justified as retaining the legitimate high-value residential market while removing extreme distortions.</t>
  </si>
  <si>
    <t>Extracted year, month, quarter from transfer date. Later added month_sin and month_cos as cyclical encodings to capture seasonal periodicity without artificial discontinuity at December/January.</t>
  </si>
  <si>
    <t>Ridge regression with alpha=10.0 on a log-transformed target (log1p(price)). Chosen as a fast, interpretable sanity check before moving to non-linear models.</t>
  </si>
  <si>
    <t>One-hot encoding for property_type, old_new, duration, borough; ordinal encoding for epc_rating to preserve its natural A→G order.</t>
  </si>
  <si>
    <t>Dropped entirely. Noted that spatial information is already captured by lat/lon and borough, making postcode redundant.</t>
  </si>
  <si>
    <t>Yes full sklearn Pipeline + ColumnTransformer used for all three models. Imputation, scaling, and encoding all fit on training data only.</t>
  </si>
  <si>
    <t>Created month_sin, month_cos for cyclical seasonality and total_dist (sum of station, school, supermarket distances) as a single proximity score.</t>
  </si>
  <si>
    <t>RANK</t>
  </si>
  <si>
    <t>Chart 1: Overall Weighted Scores</t>
  </si>
  <si>
    <t>Agent</t>
  </si>
  <si>
    <t>Final Weighted Score</t>
  </si>
  <si>
    <t>Chart 2: Task-by-Task Weighted Scores</t>
  </si>
  <si>
    <t>Chart 3: MLAgentBench PASS Counts by Dimension</t>
  </si>
  <si>
    <t>Dimension</t>
  </si>
  <si>
    <t>Competence (3 metrics)</t>
  </si>
  <si>
    <t>Research Process (4 metrics)</t>
  </si>
  <si>
    <t>Efficiency (3 metrics)</t>
  </si>
  <si>
    <t>Chart 4: Average Raw Score by Criterion (across all tasks)</t>
  </si>
  <si>
    <t>Chart 5: MLAgentBench Final Success Rate vs Benchmark</t>
  </si>
  <si>
    <t>Final Success Rate</t>
  </si>
  <si>
    <t>Chart 6: MLAgentBench Result Distribution (PASS / PARTIAL / FAIL)</t>
  </si>
  <si>
    <t>Data Ingestion</t>
  </si>
  <si>
    <t>EDA</t>
  </si>
  <si>
    <t>Baseline Model</t>
  </si>
  <si>
    <t>Advanced Model</t>
  </si>
  <si>
    <t>Debugging</t>
  </si>
  <si>
    <t>Data Leakage</t>
  </si>
  <si>
    <t>Valid with minor concerns; no model improvement</t>
  </si>
  <si>
    <t>Yes, caught both silent leakage bugs: scaler fitted on full dataset before split, and target column price left in the feature matrix X inflating R².</t>
  </si>
  <si>
    <t xml:space="preserve"> It correctly identified all four bugs but its corrected notebook failed to execute cleanly</t>
  </si>
  <si>
    <t>Introduced feature engineering (cyclical month, total proximity score), then tested Random Forest and XGBoost as non-linear alternatives to Ridge. Best result: RF R²=0.7519, MdAPE=13.67%. XGBoost failed to outperform Random Forest, something acknowledged but with no hyperparameter tuning attempted.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</si>
</sst>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1"/>
      <color theme="1"/>
      <name val="Calibri"/>
      <family val="2"/>
      <charset val="1"/>
    </font>
    <font>
      <b/>
      <sz val="10"/>
      <color theme="0"/>
      <name val="Arial"/>
      <family val="2"/>
    </font>
    <font>
      <sz val="11"/>
      <color theme="1"/>
      <name val="Calibri"/>
      <family val="2"/>
      <scheme val="minor"/>
    </font>
    <font>
      <b/>
      <sz val="10"/>
      <color rgb="FFFFFFFF"/>
      <name val="Arial"/>
      <family val="2"/>
    </font>
    <font>
      <sz val="11"/>
      <color theme="1"/>
      <name val="Arial"/>
      <family val="2"/>
    </font>
    <font>
      <b/>
      <sz val="15"/>
      <color rgb="FFFFFFFF"/>
      <name val="Arial"/>
      <family val="2"/>
    </font>
    <font>
      <sz val="11"/>
      <color theme="0"/>
      <name val="Arial"/>
      <family val="2"/>
    </font>
    <font>
      <b/>
      <sz val="11"/>
      <color rgb="FF1F1F1F"/>
      <name val="Arial"/>
      <family val="2"/>
    </font>
    <font>
      <b/>
      <sz val="9"/>
      <color rgb="FF444444"/>
      <name val="Arial"/>
      <family val="2"/>
    </font>
    <font>
      <b/>
      <sz val="9"/>
      <color rgb="FF276221"/>
      <name val="Arial"/>
      <family val="2"/>
    </font>
    <font>
      <b/>
      <sz val="9"/>
      <color rgb="FF9C6500"/>
      <name val="Arial"/>
      <family val="2"/>
    </font>
    <font>
      <b/>
      <sz val="9"/>
      <color rgb="FF9C0006"/>
      <name val="Arial"/>
      <family val="2"/>
    </font>
    <font>
      <sz val="11"/>
      <name val="Arial"/>
      <family val="2"/>
    </font>
    <font>
      <sz val="11"/>
      <color rgb="FF000000"/>
      <name val="Arial"/>
      <family val="2"/>
    </font>
    <font>
      <sz val="11"/>
      <color rgb="FF1F1F1F"/>
      <name val="Arial"/>
      <family val="2"/>
    </font>
    <font>
      <b/>
      <sz val="11"/>
      <color rgb="FF444444"/>
      <name val="Arial"/>
      <family val="2"/>
    </font>
    <font>
      <sz val="11"/>
      <color rgb="FF444444"/>
      <name val="Arial"/>
      <family val="2"/>
    </font>
    <font>
      <b/>
      <sz val="11"/>
      <color theme="1"/>
      <name val="Arial"/>
      <family val="2"/>
    </font>
    <font>
      <b/>
      <sz val="11"/>
      <color theme="0"/>
      <name val="Arial"/>
      <family val="2"/>
    </font>
    <font>
      <i/>
      <sz val="11"/>
      <color theme="0"/>
      <name val="Arial"/>
      <family val="2"/>
    </font>
    <font>
      <b/>
      <sz val="11"/>
      <color rgb="FFFFFFFF"/>
      <name val="Arial"/>
      <family val="2"/>
    </font>
    <font>
      <b/>
      <sz val="14"/>
      <color theme="1"/>
      <name val="Arial"/>
      <family val="2"/>
    </font>
  </fonts>
  <fills count="20">
    <fill>
      <patternFill patternType="none"/>
    </fill>
    <fill>
      <patternFill patternType="gray125"/>
    </fill>
    <fill>
      <patternFill patternType="solid">
        <fgColor rgb="FF17375E"/>
      </patternFill>
    </fill>
    <fill>
      <patternFill patternType="solid">
        <fgColor rgb="FFFFFFFF"/>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9" tint="0.59999389629810485"/>
        <bgColor indexed="64"/>
      </patternFill>
    </fill>
    <fill>
      <patternFill patternType="solid">
        <fgColor rgb="FFC6EFCE"/>
        <bgColor rgb="FFCCFFFF"/>
      </patternFill>
    </fill>
    <fill>
      <patternFill patternType="solid">
        <fgColor rgb="FFFFEB9C"/>
        <bgColor rgb="FFF0F0F0"/>
      </patternFill>
    </fill>
    <fill>
      <patternFill patternType="solid">
        <fgColor rgb="FFFFC7CE"/>
        <bgColor rgb="FFFFEB9C"/>
      </patternFill>
    </fill>
    <fill>
      <patternFill patternType="solid">
        <fgColor theme="0"/>
        <bgColor rgb="FFF5F5F5"/>
      </patternFill>
    </fill>
    <fill>
      <patternFill patternType="solid">
        <fgColor theme="0"/>
        <bgColor rgb="FFCCFFFF"/>
      </patternFill>
    </fill>
    <fill>
      <patternFill patternType="solid">
        <fgColor theme="0"/>
        <bgColor rgb="FFF0F0F0"/>
      </patternFill>
    </fill>
    <fill>
      <patternFill patternType="solid">
        <fgColor rgb="FF002060"/>
        <bgColor rgb="FF003366"/>
      </patternFill>
    </fill>
    <fill>
      <patternFill patternType="solid">
        <fgColor rgb="FF002060"/>
        <bgColor rgb="FF444444"/>
      </patternFill>
    </fill>
    <fill>
      <patternFill patternType="solid">
        <fgColor rgb="FF002060"/>
        <bgColor indexed="64"/>
      </patternFill>
    </fill>
    <fill>
      <patternFill patternType="solid">
        <fgColor theme="4"/>
        <bgColor rgb="FF003366"/>
      </patternFill>
    </fill>
    <fill>
      <patternFill patternType="solid">
        <fgColor theme="4"/>
        <bgColor indexed="64"/>
      </patternFill>
    </fill>
    <fill>
      <patternFill patternType="solid">
        <fgColor rgb="FF002060"/>
        <bgColor rgb="FFF5F5F5"/>
      </patternFill>
    </fill>
  </fills>
  <borders count="1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BBBBBB"/>
      </left>
      <right style="thin">
        <color rgb="FFBBBBBB"/>
      </right>
      <top style="thin">
        <color rgb="FFBBBBBB"/>
      </top>
      <bottom style="thin">
        <color rgb="FFBBBBBB"/>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BFBFBF"/>
      </left>
      <right style="thin">
        <color rgb="FFBFBFBF"/>
      </right>
      <top style="thin">
        <color rgb="FFBFBFBF"/>
      </top>
      <bottom/>
      <diagonal/>
    </border>
    <border>
      <left/>
      <right/>
      <top/>
      <bottom style="thin">
        <color rgb="FFBBBBBB"/>
      </bottom>
      <diagonal/>
    </border>
    <border>
      <left style="thin">
        <color indexed="64"/>
      </left>
      <right style="thin">
        <color indexed="64"/>
      </right>
      <top/>
      <bottom style="thin">
        <color indexed="64"/>
      </bottom>
      <diagonal/>
    </border>
    <border>
      <left style="thin">
        <color auto="1"/>
      </left>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3">
    <xf numFmtId="0" fontId="0" fillId="0" borderId="0"/>
    <xf numFmtId="0" fontId="1" fillId="0" borderId="0"/>
    <xf numFmtId="9" fontId="3" fillId="0" borderId="0" applyFont="0" applyFill="0" applyBorder="0" applyAlignment="0" applyProtection="0"/>
  </cellStyleXfs>
  <cellXfs count="75">
    <xf numFmtId="0" fontId="0" fillId="0" borderId="0" xfId="0"/>
    <xf numFmtId="0" fontId="5" fillId="0" borderId="0" xfId="0" applyFont="1" applyAlignment="1">
      <alignment vertical="center"/>
    </xf>
    <xf numFmtId="0" fontId="5" fillId="0" borderId="0" xfId="0" applyFont="1"/>
    <xf numFmtId="0" fontId="10" fillId="8" borderId="8" xfId="1" applyFont="1" applyFill="1" applyBorder="1" applyAlignment="1">
      <alignment horizontal="center" vertical="center"/>
    </xf>
    <xf numFmtId="0" fontId="11" fillId="9" borderId="8" xfId="1" applyFont="1" applyFill="1" applyBorder="1" applyAlignment="1">
      <alignment horizontal="center" vertical="center"/>
    </xf>
    <xf numFmtId="0" fontId="12" fillId="10" borderId="8" xfId="1" applyFont="1" applyFill="1" applyBorder="1" applyAlignment="1">
      <alignment horizontal="center" vertical="center"/>
    </xf>
    <xf numFmtId="0" fontId="5" fillId="0" borderId="0" xfId="1" applyFont="1"/>
    <xf numFmtId="0" fontId="2" fillId="16" borderId="7" xfId="0" applyFont="1" applyFill="1" applyBorder="1" applyAlignment="1">
      <alignment horizontal="center" vertical="center" wrapText="1"/>
    </xf>
    <xf numFmtId="0" fontId="13" fillId="0" borderId="7" xfId="0" applyFont="1" applyBorder="1" applyAlignment="1">
      <alignment vertical="center" wrapText="1"/>
    </xf>
    <xf numFmtId="0" fontId="5" fillId="0" borderId="7" xfId="0" applyFont="1" applyBorder="1" applyAlignment="1">
      <alignment vertical="center" wrapText="1"/>
    </xf>
    <xf numFmtId="0" fontId="14" fillId="0" borderId="7" xfId="0" applyFont="1" applyBorder="1" applyAlignment="1">
      <alignment vertical="center" wrapText="1"/>
    </xf>
    <xf numFmtId="0" fontId="14" fillId="0" borderId="13" xfId="0" applyFont="1" applyBorder="1" applyAlignment="1">
      <alignment vertical="center" wrapText="1"/>
    </xf>
    <xf numFmtId="0" fontId="8" fillId="4"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0" fontId="17" fillId="11" borderId="8" xfId="1" applyFont="1" applyFill="1" applyBorder="1" applyAlignment="1">
      <alignment horizontal="left" vertical="center" wrapText="1"/>
    </xf>
    <xf numFmtId="0" fontId="18" fillId="12" borderId="8" xfId="1" applyFont="1" applyFill="1" applyBorder="1" applyAlignment="1">
      <alignment horizontal="center" vertical="center"/>
    </xf>
    <xf numFmtId="0" fontId="19" fillId="15" borderId="9" xfId="1" applyFont="1" applyFill="1" applyBorder="1" applyAlignment="1">
      <alignment horizontal="center" vertical="center" wrapText="1"/>
    </xf>
    <xf numFmtId="0" fontId="17" fillId="13" borderId="8" xfId="1" applyFont="1" applyFill="1" applyBorder="1" applyAlignment="1">
      <alignment horizontal="left" vertical="center" wrapText="1"/>
    </xf>
    <xf numFmtId="0" fontId="19" fillId="14" borderId="9" xfId="0" applyFont="1" applyFill="1" applyBorder="1" applyAlignment="1">
      <alignment horizontal="center" vertical="center"/>
    </xf>
    <xf numFmtId="0" fontId="20" fillId="19" borderId="0" xfId="1" applyFont="1" applyFill="1" applyAlignment="1">
      <alignment horizontal="left" vertical="center"/>
    </xf>
    <xf numFmtId="0" fontId="21" fillId="7"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2" fontId="15" fillId="3" borderId="1" xfId="0" applyNumberFormat="1" applyFont="1" applyFill="1" applyBorder="1" applyAlignment="1">
      <alignment horizontal="center" vertical="center" wrapText="1"/>
    </xf>
    <xf numFmtId="2" fontId="19" fillId="16" borderId="1" xfId="0" applyNumberFormat="1" applyFont="1" applyFill="1" applyBorder="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left"/>
    </xf>
    <xf numFmtId="0" fontId="16" fillId="11" borderId="8" xfId="1" applyFont="1" applyFill="1" applyBorder="1" applyAlignment="1">
      <alignment horizontal="left" vertical="center" wrapText="1"/>
    </xf>
    <xf numFmtId="0" fontId="16" fillId="13" borderId="8" xfId="1" applyFont="1" applyFill="1" applyBorder="1" applyAlignment="1">
      <alignment horizontal="left" vertical="center" wrapText="1"/>
    </xf>
    <xf numFmtId="0" fontId="5" fillId="0" borderId="0" xfId="1" applyFont="1" applyAlignment="1">
      <alignment horizontal="left"/>
    </xf>
    <xf numFmtId="0" fontId="5" fillId="0" borderId="0" xfId="1" applyFont="1" applyAlignment="1">
      <alignment vertical="center"/>
    </xf>
    <xf numFmtId="164" fontId="16" fillId="11" borderId="8" xfId="2" applyNumberFormat="1" applyFont="1" applyFill="1" applyBorder="1" applyAlignment="1">
      <alignment horizontal="center" vertical="center" wrapText="1"/>
    </xf>
    <xf numFmtId="0" fontId="22" fillId="0" borderId="0" xfId="0" applyFont="1"/>
    <xf numFmtId="0" fontId="18" fillId="0" borderId="0" xfId="0" applyFont="1"/>
    <xf numFmtId="2" fontId="5" fillId="0" borderId="0" xfId="0" applyNumberFormat="1" applyFont="1"/>
    <xf numFmtId="164" fontId="5" fillId="0" borderId="0" xfId="0" applyNumberFormat="1" applyFont="1"/>
    <xf numFmtId="0" fontId="2" fillId="16" borderId="7" xfId="0" applyFont="1" applyFill="1" applyBorder="1" applyAlignment="1">
      <alignment horizontal="center" vertical="center"/>
    </xf>
    <xf numFmtId="0" fontId="4" fillId="2" borderId="1" xfId="0" applyFont="1" applyFill="1" applyBorder="1" applyAlignment="1">
      <alignment horizontal="left" vertical="center" wrapText="1"/>
    </xf>
    <xf numFmtId="0" fontId="5" fillId="0" borderId="2" xfId="0" applyFont="1" applyBorder="1" applyAlignment="1">
      <alignment vertical="center"/>
    </xf>
    <xf numFmtId="0" fontId="5" fillId="0" borderId="3" xfId="0" applyFont="1" applyBorder="1" applyAlignment="1">
      <alignment vertical="center"/>
    </xf>
    <xf numFmtId="0" fontId="15" fillId="5" borderId="1" xfId="0" applyFont="1" applyFill="1" applyBorder="1" applyAlignment="1">
      <alignment horizontal="left" vertical="center" wrapText="1"/>
    </xf>
    <xf numFmtId="0" fontId="5" fillId="5" borderId="2" xfId="0" applyFont="1" applyFill="1" applyBorder="1" applyAlignment="1">
      <alignment vertical="center"/>
    </xf>
    <xf numFmtId="0" fontId="5" fillId="5" borderId="3" xfId="0" applyFont="1" applyFill="1" applyBorder="1" applyAlignment="1">
      <alignment vertical="center"/>
    </xf>
    <xf numFmtId="0" fontId="6" fillId="16" borderId="0" xfId="0" applyFont="1" applyFill="1" applyAlignment="1">
      <alignment horizontal="center" vertical="center" wrapText="1"/>
    </xf>
    <xf numFmtId="0" fontId="19" fillId="14" borderId="10" xfId="0" applyFont="1" applyFill="1" applyBorder="1" applyAlignment="1">
      <alignment horizontal="left" vertical="center"/>
    </xf>
    <xf numFmtId="164" fontId="16" fillId="11" borderId="14" xfId="2" applyNumberFormat="1" applyFont="1" applyFill="1" applyBorder="1" applyAlignment="1">
      <alignment horizontal="center" vertical="center" wrapText="1"/>
    </xf>
    <xf numFmtId="164" fontId="16" fillId="11" borderId="15" xfId="2" applyNumberFormat="1" applyFont="1" applyFill="1" applyBorder="1" applyAlignment="1">
      <alignment horizontal="center" vertical="center" wrapText="1"/>
    </xf>
    <xf numFmtId="164" fontId="16" fillId="11" borderId="16" xfId="2" applyNumberFormat="1" applyFont="1" applyFill="1" applyBorder="1" applyAlignment="1">
      <alignment horizontal="center" vertical="center" wrapText="1"/>
    </xf>
    <xf numFmtId="0" fontId="9" fillId="0" borderId="12" xfId="1" applyFont="1" applyBorder="1" applyAlignment="1">
      <alignment horizontal="center" vertical="center"/>
    </xf>
    <xf numFmtId="0" fontId="19" fillId="17" borderId="0" xfId="1" applyFont="1" applyFill="1" applyAlignment="1">
      <alignment horizontal="left" vertical="center"/>
    </xf>
    <xf numFmtId="0" fontId="19" fillId="16" borderId="6" xfId="0" applyFont="1" applyFill="1" applyBorder="1" applyAlignment="1">
      <alignment horizontal="center" vertical="center" wrapText="1"/>
    </xf>
    <xf numFmtId="0" fontId="19" fillId="16" borderId="3" xfId="0" applyFont="1" applyFill="1" applyBorder="1" applyAlignment="1">
      <alignment horizontal="center" vertical="center" wrapText="1"/>
    </xf>
    <xf numFmtId="2" fontId="15" fillId="4" borderId="6" xfId="0" applyNumberFormat="1" applyFont="1" applyFill="1" applyBorder="1" applyAlignment="1">
      <alignment horizontal="center" vertical="center" wrapText="1"/>
    </xf>
    <xf numFmtId="0" fontId="15" fillId="4" borderId="3" xfId="0" applyFont="1" applyFill="1" applyBorder="1" applyAlignment="1">
      <alignment horizontal="center" vertical="center" wrapText="1"/>
    </xf>
    <xf numFmtId="0" fontId="19" fillId="16" borderId="1" xfId="0" applyFont="1" applyFill="1" applyBorder="1" applyAlignment="1">
      <alignment horizontal="center" vertical="center" wrapText="1"/>
    </xf>
    <xf numFmtId="0" fontId="7" fillId="16" borderId="2" xfId="0" applyFont="1" applyFill="1" applyBorder="1" applyAlignment="1">
      <alignment horizontal="center" vertical="center"/>
    </xf>
    <xf numFmtId="0" fontId="7" fillId="16" borderId="3" xfId="0" applyFont="1" applyFill="1" applyBorder="1" applyAlignment="1">
      <alignment horizontal="center" vertical="center"/>
    </xf>
    <xf numFmtId="0" fontId="21" fillId="18" borderId="1" xfId="0" applyFont="1" applyFill="1" applyBorder="1" applyAlignment="1">
      <alignment horizontal="center" vertical="center" wrapText="1"/>
    </xf>
    <xf numFmtId="0" fontId="5" fillId="18" borderId="5" xfId="0" applyFont="1" applyFill="1" applyBorder="1" applyAlignment="1">
      <alignment vertical="center"/>
    </xf>
    <xf numFmtId="0" fontId="19" fillId="16" borderId="2"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5" fillId="16" borderId="0" xfId="0" applyFont="1" applyFill="1" applyAlignment="1">
      <alignment vertical="center"/>
    </xf>
    <xf numFmtId="0" fontId="8" fillId="3" borderId="1" xfId="0" applyFont="1" applyFill="1" applyBorder="1" applyAlignment="1">
      <alignment horizontal="center" vertical="center" wrapText="1"/>
    </xf>
    <xf numFmtId="0" fontId="5" fillId="0" borderId="4" xfId="0" applyFont="1" applyBorder="1" applyAlignment="1">
      <alignment vertical="center"/>
    </xf>
    <xf numFmtId="0" fontId="5" fillId="0" borderId="5" xfId="0" applyFont="1" applyBorder="1" applyAlignment="1">
      <alignment vertical="center"/>
    </xf>
    <xf numFmtId="0" fontId="21" fillId="16" borderId="1" xfId="0" applyFont="1" applyFill="1" applyBorder="1" applyAlignment="1">
      <alignment horizontal="center" vertical="center" wrapText="1"/>
    </xf>
    <xf numFmtId="0" fontId="5" fillId="16" borderId="3" xfId="0" applyFont="1" applyFill="1" applyBorder="1" applyAlignment="1">
      <alignment vertical="center"/>
    </xf>
    <xf numFmtId="0" fontId="21" fillId="6" borderId="6"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5" fillId="16" borderId="2" xfId="0" applyFont="1" applyFill="1" applyBorder="1" applyAlignment="1">
      <alignment horizontal="center" vertical="center"/>
    </xf>
    <xf numFmtId="0" fontId="5" fillId="16" borderId="3" xfId="0" applyFont="1" applyFill="1" applyBorder="1" applyAlignment="1">
      <alignment horizontal="center" vertical="center"/>
    </xf>
  </cellXfs>
  <cellStyles count="3">
    <cellStyle name="Normal" xfId="0" builtinId="0"/>
    <cellStyle name="Normal 2" xfId="1" xr:uid="{63709BB1-5C85-4CB1-974F-C2173D29CA43}"/>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Overall Weighted Scores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Charts!$B$4</c:f>
              <c:strCache>
                <c:ptCount val="1"/>
                <c:pt idx="0">
                  <c:v>Final Weighted Score</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Charts!$C$3:$E$3</c:f>
              <c:strCache>
                <c:ptCount val="3"/>
                <c:pt idx="0">
                  <c:v>Claude Code</c:v>
                </c:pt>
                <c:pt idx="1">
                  <c:v>Cursor</c:v>
                </c:pt>
                <c:pt idx="2">
                  <c:v>Antigravity</c:v>
                </c:pt>
              </c:strCache>
            </c:strRef>
          </c:cat>
          <c:val>
            <c:numRef>
              <c:f>Charts!$C$4:$E$4</c:f>
              <c:numCache>
                <c:formatCode>General</c:formatCode>
                <c:ptCount val="3"/>
                <c:pt idx="0">
                  <c:v>4.6500000000000004</c:v>
                </c:pt>
                <c:pt idx="1">
                  <c:v>4.0199999999999996</c:v>
                </c:pt>
                <c:pt idx="2">
                  <c:v>3.56</c:v>
                </c:pt>
              </c:numCache>
            </c:numRef>
          </c:val>
          <c:extLst>
            <c:ext xmlns:c16="http://schemas.microsoft.com/office/drawing/2014/chart" uri="{C3380CC4-5D6E-409C-BE32-E72D297353CC}">
              <c16:uniqueId val="{00000000-473D-433E-89E7-E6859F79F768}"/>
            </c:ext>
          </c:extLst>
        </c:ser>
        <c:dLbls>
          <c:showLegendKey val="0"/>
          <c:showVal val="0"/>
          <c:showCatName val="0"/>
          <c:showSerName val="0"/>
          <c:showPercent val="0"/>
          <c:showBubbleSize val="0"/>
        </c:dLbls>
        <c:gapWidth val="219"/>
        <c:overlap val="-27"/>
        <c:axId val="1333266655"/>
        <c:axId val="1333271455"/>
      </c:barChart>
      <c:catAx>
        <c:axId val="133326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3271455"/>
        <c:crosses val="autoZero"/>
        <c:auto val="1"/>
        <c:lblAlgn val="ctr"/>
        <c:lblOffset val="100"/>
        <c:noMultiLvlLbl val="0"/>
      </c:catAx>
      <c:valAx>
        <c:axId val="133327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326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Weighted Scores by Task &amp;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Charts!$C$26</c:f>
              <c:strCache>
                <c:ptCount val="1"/>
                <c:pt idx="0">
                  <c:v>Claude Code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Charts!$B$27:$B$32</c:f>
              <c:strCache>
                <c:ptCount val="6"/>
                <c:pt idx="0">
                  <c:v>Data Ingestion</c:v>
                </c:pt>
                <c:pt idx="1">
                  <c:v>EDA</c:v>
                </c:pt>
                <c:pt idx="2">
                  <c:v>Baseline Model</c:v>
                </c:pt>
                <c:pt idx="3">
                  <c:v>Advanced Model</c:v>
                </c:pt>
                <c:pt idx="4">
                  <c:v>Debugging</c:v>
                </c:pt>
                <c:pt idx="5">
                  <c:v>Data Leakage</c:v>
                </c:pt>
              </c:strCache>
            </c:strRef>
          </c:cat>
          <c:val>
            <c:numRef>
              <c:f>Charts!$C$27:$C$32</c:f>
              <c:numCache>
                <c:formatCode>General</c:formatCode>
                <c:ptCount val="6"/>
                <c:pt idx="0">
                  <c:v>5</c:v>
                </c:pt>
                <c:pt idx="1">
                  <c:v>5</c:v>
                </c:pt>
                <c:pt idx="2">
                  <c:v>5</c:v>
                </c:pt>
                <c:pt idx="3">
                  <c:v>5</c:v>
                </c:pt>
                <c:pt idx="4">
                  <c:v>2.9</c:v>
                </c:pt>
                <c:pt idx="5">
                  <c:v>5</c:v>
                </c:pt>
              </c:numCache>
            </c:numRef>
          </c:val>
          <c:extLst>
            <c:ext xmlns:c16="http://schemas.microsoft.com/office/drawing/2014/chart" uri="{C3380CC4-5D6E-409C-BE32-E72D297353CC}">
              <c16:uniqueId val="{00000000-F177-4831-8B64-F02B0CB5C8DD}"/>
            </c:ext>
          </c:extLst>
        </c:ser>
        <c:ser>
          <c:idx val="1"/>
          <c:order val="1"/>
          <c:tx>
            <c:strRef>
              <c:f>Charts!$D$26</c:f>
              <c:strCache>
                <c:ptCount val="1"/>
                <c:pt idx="0">
                  <c:v>Cursor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Charts!$B$27:$B$32</c:f>
              <c:strCache>
                <c:ptCount val="6"/>
                <c:pt idx="0">
                  <c:v>Data Ingestion</c:v>
                </c:pt>
                <c:pt idx="1">
                  <c:v>EDA</c:v>
                </c:pt>
                <c:pt idx="2">
                  <c:v>Baseline Model</c:v>
                </c:pt>
                <c:pt idx="3">
                  <c:v>Advanced Model</c:v>
                </c:pt>
                <c:pt idx="4">
                  <c:v>Debugging</c:v>
                </c:pt>
                <c:pt idx="5">
                  <c:v>Data Leakage</c:v>
                </c:pt>
              </c:strCache>
            </c:strRef>
          </c:cat>
          <c:val>
            <c:numRef>
              <c:f>Charts!$D$27:$D$32</c:f>
              <c:numCache>
                <c:formatCode>General</c:formatCode>
                <c:ptCount val="6"/>
                <c:pt idx="0">
                  <c:v>4.3499999999999996</c:v>
                </c:pt>
                <c:pt idx="1">
                  <c:v>4.3499999999999996</c:v>
                </c:pt>
                <c:pt idx="2">
                  <c:v>4.3499999999999996</c:v>
                </c:pt>
                <c:pt idx="3">
                  <c:v>3.15</c:v>
                </c:pt>
                <c:pt idx="4">
                  <c:v>3.9</c:v>
                </c:pt>
                <c:pt idx="5">
                  <c:v>4.3499999999999996</c:v>
                </c:pt>
              </c:numCache>
            </c:numRef>
          </c:val>
          <c:extLst>
            <c:ext xmlns:c16="http://schemas.microsoft.com/office/drawing/2014/chart" uri="{C3380CC4-5D6E-409C-BE32-E72D297353CC}">
              <c16:uniqueId val="{00000001-F177-4831-8B64-F02B0CB5C8DD}"/>
            </c:ext>
          </c:extLst>
        </c:ser>
        <c:ser>
          <c:idx val="2"/>
          <c:order val="2"/>
          <c:tx>
            <c:strRef>
              <c:f>Charts!$E$26</c:f>
              <c:strCache>
                <c:ptCount val="1"/>
                <c:pt idx="0">
                  <c:v>Antigravity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Charts!$B$27:$B$32</c:f>
              <c:strCache>
                <c:ptCount val="6"/>
                <c:pt idx="0">
                  <c:v>Data Ingestion</c:v>
                </c:pt>
                <c:pt idx="1">
                  <c:v>EDA</c:v>
                </c:pt>
                <c:pt idx="2">
                  <c:v>Baseline Model</c:v>
                </c:pt>
                <c:pt idx="3">
                  <c:v>Advanced Model</c:v>
                </c:pt>
                <c:pt idx="4">
                  <c:v>Debugging</c:v>
                </c:pt>
                <c:pt idx="5">
                  <c:v>Data Leakage</c:v>
                </c:pt>
              </c:strCache>
            </c:strRef>
          </c:cat>
          <c:val>
            <c:numRef>
              <c:f>Charts!$E$27:$E$32</c:f>
              <c:numCache>
                <c:formatCode>General</c:formatCode>
                <c:ptCount val="6"/>
                <c:pt idx="0">
                  <c:v>3.4</c:v>
                </c:pt>
                <c:pt idx="1">
                  <c:v>3.4</c:v>
                </c:pt>
                <c:pt idx="2">
                  <c:v>3.7</c:v>
                </c:pt>
                <c:pt idx="3">
                  <c:v>3.3</c:v>
                </c:pt>
                <c:pt idx="4">
                  <c:v>3.7</c:v>
                </c:pt>
                <c:pt idx="5">
                  <c:v>3.7</c:v>
                </c:pt>
              </c:numCache>
            </c:numRef>
          </c:val>
          <c:extLst>
            <c:ext xmlns:c16="http://schemas.microsoft.com/office/drawing/2014/chart" uri="{C3380CC4-5D6E-409C-BE32-E72D297353CC}">
              <c16:uniqueId val="{00000002-F177-4831-8B64-F02B0CB5C8DD}"/>
            </c:ext>
          </c:extLst>
        </c:ser>
        <c:dLbls>
          <c:dLblPos val="outEnd"/>
          <c:showLegendKey val="0"/>
          <c:showVal val="1"/>
          <c:showCatName val="0"/>
          <c:showSerName val="0"/>
          <c:showPercent val="0"/>
          <c:showBubbleSize val="0"/>
        </c:dLbls>
        <c:gapWidth val="219"/>
        <c:overlap val="-27"/>
        <c:axId val="830975392"/>
        <c:axId val="830975872"/>
      </c:barChart>
      <c:catAx>
        <c:axId val="8309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30975872"/>
        <c:crosses val="autoZero"/>
        <c:auto val="1"/>
        <c:lblAlgn val="ctr"/>
        <c:lblOffset val="100"/>
        <c:noMultiLvlLbl val="0"/>
      </c:catAx>
      <c:valAx>
        <c:axId val="830975872"/>
        <c:scaling>
          <c:orientation val="minMax"/>
          <c:max val="5.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30975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MLAgentBench: Full PASS Count by Dimension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Charts!$C$54</c:f>
              <c:strCache>
                <c:ptCount val="1"/>
                <c:pt idx="0">
                  <c:v>Claude Code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Charts!$B$55:$B$57</c:f>
              <c:strCache>
                <c:ptCount val="3"/>
                <c:pt idx="0">
                  <c:v>Competence (3 metrics)</c:v>
                </c:pt>
                <c:pt idx="1">
                  <c:v>Research Process (4 metrics)</c:v>
                </c:pt>
                <c:pt idx="2">
                  <c:v>Efficiency (3 metrics)</c:v>
                </c:pt>
              </c:strCache>
            </c:strRef>
          </c:cat>
          <c:val>
            <c:numRef>
              <c:f>Charts!$C$55:$C$57</c:f>
              <c:numCache>
                <c:formatCode>General</c:formatCode>
                <c:ptCount val="3"/>
                <c:pt idx="0">
                  <c:v>2</c:v>
                </c:pt>
                <c:pt idx="1">
                  <c:v>3</c:v>
                </c:pt>
                <c:pt idx="2">
                  <c:v>3</c:v>
                </c:pt>
              </c:numCache>
            </c:numRef>
          </c:val>
          <c:extLst>
            <c:ext xmlns:c16="http://schemas.microsoft.com/office/drawing/2014/chart" uri="{C3380CC4-5D6E-409C-BE32-E72D297353CC}">
              <c16:uniqueId val="{00000000-C06D-4922-A562-DD11ACF6C3FB}"/>
            </c:ext>
          </c:extLst>
        </c:ser>
        <c:ser>
          <c:idx val="1"/>
          <c:order val="1"/>
          <c:tx>
            <c:strRef>
              <c:f>Charts!$D$54</c:f>
              <c:strCache>
                <c:ptCount val="1"/>
                <c:pt idx="0">
                  <c:v>Cursor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Charts!$B$55:$B$57</c:f>
              <c:strCache>
                <c:ptCount val="3"/>
                <c:pt idx="0">
                  <c:v>Competence (3 metrics)</c:v>
                </c:pt>
                <c:pt idx="1">
                  <c:v>Research Process (4 metrics)</c:v>
                </c:pt>
                <c:pt idx="2">
                  <c:v>Efficiency (3 metrics)</c:v>
                </c:pt>
              </c:strCache>
            </c:strRef>
          </c:cat>
          <c:val>
            <c:numRef>
              <c:f>Charts!$D$55:$D$57</c:f>
              <c:numCache>
                <c:formatCode>General</c:formatCode>
                <c:ptCount val="3"/>
                <c:pt idx="0">
                  <c:v>1</c:v>
                </c:pt>
                <c:pt idx="1">
                  <c:v>0</c:v>
                </c:pt>
                <c:pt idx="2">
                  <c:v>3</c:v>
                </c:pt>
              </c:numCache>
            </c:numRef>
          </c:val>
          <c:extLst>
            <c:ext xmlns:c16="http://schemas.microsoft.com/office/drawing/2014/chart" uri="{C3380CC4-5D6E-409C-BE32-E72D297353CC}">
              <c16:uniqueId val="{00000001-C06D-4922-A562-DD11ACF6C3FB}"/>
            </c:ext>
          </c:extLst>
        </c:ser>
        <c:ser>
          <c:idx val="2"/>
          <c:order val="2"/>
          <c:tx>
            <c:strRef>
              <c:f>Charts!$E$54</c:f>
              <c:strCache>
                <c:ptCount val="1"/>
                <c:pt idx="0">
                  <c:v>Antigravity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Charts!$B$55:$B$57</c:f>
              <c:strCache>
                <c:ptCount val="3"/>
                <c:pt idx="0">
                  <c:v>Competence (3 metrics)</c:v>
                </c:pt>
                <c:pt idx="1">
                  <c:v>Research Process (4 metrics)</c:v>
                </c:pt>
                <c:pt idx="2">
                  <c:v>Efficiency (3 metrics)</c:v>
                </c:pt>
              </c:strCache>
            </c:strRef>
          </c:cat>
          <c:val>
            <c:numRef>
              <c:f>Charts!$E$55:$E$57</c:f>
              <c:numCache>
                <c:formatCode>General</c:formatCode>
                <c:ptCount val="3"/>
                <c:pt idx="0">
                  <c:v>1</c:v>
                </c:pt>
                <c:pt idx="1">
                  <c:v>2</c:v>
                </c:pt>
                <c:pt idx="2">
                  <c:v>0</c:v>
                </c:pt>
              </c:numCache>
            </c:numRef>
          </c:val>
          <c:extLst>
            <c:ext xmlns:c16="http://schemas.microsoft.com/office/drawing/2014/chart" uri="{C3380CC4-5D6E-409C-BE32-E72D297353CC}">
              <c16:uniqueId val="{00000002-C06D-4922-A562-DD11ACF6C3FB}"/>
            </c:ext>
          </c:extLst>
        </c:ser>
        <c:dLbls>
          <c:dLblPos val="outEnd"/>
          <c:showLegendKey val="0"/>
          <c:showVal val="1"/>
          <c:showCatName val="0"/>
          <c:showSerName val="0"/>
          <c:showPercent val="0"/>
          <c:showBubbleSize val="0"/>
        </c:dLbls>
        <c:gapWidth val="219"/>
        <c:overlap val="-27"/>
        <c:axId val="1216894975"/>
        <c:axId val="1216898815"/>
      </c:barChart>
      <c:catAx>
        <c:axId val="121689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6898815"/>
        <c:crosses val="autoZero"/>
        <c:auto val="1"/>
        <c:lblAlgn val="ctr"/>
        <c:lblOffset val="100"/>
        <c:noMultiLvlLbl val="0"/>
      </c:catAx>
      <c:valAx>
        <c:axId val="1216898815"/>
        <c:scaling>
          <c:orientation val="minMax"/>
          <c:max val="4"/>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689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Average Raw Score by Criterion (0–5 scale)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Charts!$C$79</c:f>
              <c:strCache>
                <c:ptCount val="1"/>
                <c:pt idx="0">
                  <c:v>Claude Code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Charts!$B$80:$B$85</c:f>
              <c:strCache>
                <c:ptCount val="6"/>
                <c:pt idx="0">
                  <c:v>Correctness</c:v>
                </c:pt>
                <c:pt idx="1">
                  <c:v>Statistical Validity</c:v>
                </c:pt>
                <c:pt idx="2">
                  <c:v>Reproducibility</c:v>
                </c:pt>
                <c:pt idx="3">
                  <c:v>Code Quality</c:v>
                </c:pt>
                <c:pt idx="4">
                  <c:v>Efficiency</c:v>
                </c:pt>
                <c:pt idx="5">
                  <c:v>Safety / Compliance</c:v>
                </c:pt>
              </c:strCache>
            </c:strRef>
          </c:cat>
          <c:val>
            <c:numRef>
              <c:f>Charts!$C$80:$C$85</c:f>
              <c:numCache>
                <c:formatCode>0.00</c:formatCode>
                <c:ptCount val="6"/>
                <c:pt idx="0">
                  <c:v>4.666666666666667</c:v>
                </c:pt>
                <c:pt idx="1">
                  <c:v>4.666666666666667</c:v>
                </c:pt>
                <c:pt idx="2">
                  <c:v>4.5</c:v>
                </c:pt>
                <c:pt idx="3">
                  <c:v>4.666666666666667</c:v>
                </c:pt>
                <c:pt idx="4">
                  <c:v>4.666666666666667</c:v>
                </c:pt>
                <c:pt idx="5">
                  <c:v>5</c:v>
                </c:pt>
              </c:numCache>
            </c:numRef>
          </c:val>
          <c:extLst>
            <c:ext xmlns:c16="http://schemas.microsoft.com/office/drawing/2014/chart" uri="{C3380CC4-5D6E-409C-BE32-E72D297353CC}">
              <c16:uniqueId val="{00000000-E8C2-4C0E-B54D-1AC3CB4ED42F}"/>
            </c:ext>
          </c:extLst>
        </c:ser>
        <c:ser>
          <c:idx val="1"/>
          <c:order val="1"/>
          <c:tx>
            <c:strRef>
              <c:f>Charts!$D$79</c:f>
              <c:strCache>
                <c:ptCount val="1"/>
                <c:pt idx="0">
                  <c:v>Cursor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Charts!$B$80:$B$85</c:f>
              <c:strCache>
                <c:ptCount val="6"/>
                <c:pt idx="0">
                  <c:v>Correctness</c:v>
                </c:pt>
                <c:pt idx="1">
                  <c:v>Statistical Validity</c:v>
                </c:pt>
                <c:pt idx="2">
                  <c:v>Reproducibility</c:v>
                </c:pt>
                <c:pt idx="3">
                  <c:v>Code Quality</c:v>
                </c:pt>
                <c:pt idx="4">
                  <c:v>Efficiency</c:v>
                </c:pt>
                <c:pt idx="5">
                  <c:v>Safety / Compliance</c:v>
                </c:pt>
              </c:strCache>
            </c:strRef>
          </c:cat>
          <c:val>
            <c:numRef>
              <c:f>Charts!$D$80:$D$85</c:f>
              <c:numCache>
                <c:formatCode>0.00</c:formatCode>
                <c:ptCount val="6"/>
                <c:pt idx="0">
                  <c:v>3.8333333333333335</c:v>
                </c:pt>
                <c:pt idx="1">
                  <c:v>3.5</c:v>
                </c:pt>
                <c:pt idx="2">
                  <c:v>4.666666666666667</c:v>
                </c:pt>
                <c:pt idx="3">
                  <c:v>4</c:v>
                </c:pt>
                <c:pt idx="4">
                  <c:v>4.666666666666667</c:v>
                </c:pt>
                <c:pt idx="5">
                  <c:v>5</c:v>
                </c:pt>
              </c:numCache>
            </c:numRef>
          </c:val>
          <c:extLst>
            <c:ext xmlns:c16="http://schemas.microsoft.com/office/drawing/2014/chart" uri="{C3380CC4-5D6E-409C-BE32-E72D297353CC}">
              <c16:uniqueId val="{00000001-E8C2-4C0E-B54D-1AC3CB4ED42F}"/>
            </c:ext>
          </c:extLst>
        </c:ser>
        <c:ser>
          <c:idx val="2"/>
          <c:order val="2"/>
          <c:tx>
            <c:strRef>
              <c:f>Charts!$E$79</c:f>
              <c:strCache>
                <c:ptCount val="1"/>
                <c:pt idx="0">
                  <c:v>Antigravity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Charts!$B$80:$B$85</c:f>
              <c:strCache>
                <c:ptCount val="6"/>
                <c:pt idx="0">
                  <c:v>Correctness</c:v>
                </c:pt>
                <c:pt idx="1">
                  <c:v>Statistical Validity</c:v>
                </c:pt>
                <c:pt idx="2">
                  <c:v>Reproducibility</c:v>
                </c:pt>
                <c:pt idx="3">
                  <c:v>Code Quality</c:v>
                </c:pt>
                <c:pt idx="4">
                  <c:v>Efficiency</c:v>
                </c:pt>
                <c:pt idx="5">
                  <c:v>Safety / Compliance</c:v>
                </c:pt>
              </c:strCache>
            </c:strRef>
          </c:cat>
          <c:val>
            <c:numRef>
              <c:f>Charts!$E$80:$E$85</c:f>
              <c:numCache>
                <c:formatCode>0.00</c:formatCode>
                <c:ptCount val="6"/>
                <c:pt idx="0">
                  <c:v>3.5</c:v>
                </c:pt>
                <c:pt idx="1">
                  <c:v>3</c:v>
                </c:pt>
                <c:pt idx="2">
                  <c:v>4</c:v>
                </c:pt>
                <c:pt idx="3">
                  <c:v>3</c:v>
                </c:pt>
                <c:pt idx="4">
                  <c:v>3.8333333333333335</c:v>
                </c:pt>
                <c:pt idx="5">
                  <c:v>5</c:v>
                </c:pt>
              </c:numCache>
            </c:numRef>
          </c:val>
          <c:extLst>
            <c:ext xmlns:c16="http://schemas.microsoft.com/office/drawing/2014/chart" uri="{C3380CC4-5D6E-409C-BE32-E72D297353CC}">
              <c16:uniqueId val="{00000002-E8C2-4C0E-B54D-1AC3CB4ED42F}"/>
            </c:ext>
          </c:extLst>
        </c:ser>
        <c:dLbls>
          <c:dLblPos val="outEnd"/>
          <c:showLegendKey val="0"/>
          <c:showVal val="1"/>
          <c:showCatName val="0"/>
          <c:showSerName val="0"/>
          <c:showPercent val="0"/>
          <c:showBubbleSize val="0"/>
        </c:dLbls>
        <c:gapWidth val="219"/>
        <c:overlap val="-27"/>
        <c:axId val="830994592"/>
        <c:axId val="830991232"/>
      </c:barChart>
      <c:catAx>
        <c:axId val="8309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30991232"/>
        <c:crosses val="autoZero"/>
        <c:auto val="1"/>
        <c:lblAlgn val="ctr"/>
        <c:lblOffset val="100"/>
        <c:noMultiLvlLbl val="0"/>
      </c:catAx>
      <c:valAx>
        <c:axId val="830991232"/>
        <c:scaling>
          <c:orientation val="minMax"/>
          <c:max val="5.5"/>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3099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MLAgentBench: Final Success Rate vs Benchmark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tx>
            <c:strRef>
              <c:f>Charts!$C$107</c:f>
              <c:strCache>
                <c:ptCount val="1"/>
                <c:pt idx="0">
                  <c:v>Final Success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Charts!$B$108:$B$111</c:f>
              <c:strCache>
                <c:ptCount val="4"/>
                <c:pt idx="0">
                  <c:v>Claude Code</c:v>
                </c:pt>
                <c:pt idx="1">
                  <c:v>Cursor</c:v>
                </c:pt>
                <c:pt idx="2">
                  <c:v>Antigravity</c:v>
                </c:pt>
                <c:pt idx="3">
                  <c:v>Benchmark (Claude v3 Opus)</c:v>
                </c:pt>
              </c:strCache>
            </c:strRef>
          </c:cat>
          <c:val>
            <c:numRef>
              <c:f>Charts!$C$108:$C$111</c:f>
              <c:numCache>
                <c:formatCode>0.0%</c:formatCode>
                <c:ptCount val="4"/>
                <c:pt idx="0">
                  <c:v>0.8</c:v>
                </c:pt>
                <c:pt idx="1">
                  <c:v>0.4</c:v>
                </c:pt>
                <c:pt idx="2">
                  <c:v>0.3</c:v>
                </c:pt>
                <c:pt idx="3">
                  <c:v>0.375</c:v>
                </c:pt>
              </c:numCache>
            </c:numRef>
          </c:val>
          <c:extLst>
            <c:ext xmlns:c16="http://schemas.microsoft.com/office/drawing/2014/chart" uri="{C3380CC4-5D6E-409C-BE32-E72D297353CC}">
              <c16:uniqueId val="{00000000-6D96-4A79-BFA7-7FF2A2D81AC6}"/>
            </c:ext>
          </c:extLst>
        </c:ser>
        <c:dLbls>
          <c:dLblPos val="outEnd"/>
          <c:showLegendKey val="0"/>
          <c:showVal val="1"/>
          <c:showCatName val="0"/>
          <c:showSerName val="0"/>
          <c:showPercent val="0"/>
          <c:showBubbleSize val="0"/>
        </c:dLbls>
        <c:gapWidth val="182"/>
        <c:axId val="1216899295"/>
        <c:axId val="1216899775"/>
      </c:barChart>
      <c:catAx>
        <c:axId val="121689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6899775"/>
        <c:crosses val="autoZero"/>
        <c:auto val="1"/>
        <c:lblAlgn val="ctr"/>
        <c:lblOffset val="100"/>
        <c:noMultiLvlLbl val="0"/>
      </c:catAx>
      <c:valAx>
        <c:axId val="1216899775"/>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689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MLAgentBench: Result Distribution per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Charts!$C$133</c:f>
              <c:strCache>
                <c:ptCount val="1"/>
                <c:pt idx="0">
                  <c:v>PASS</c:v>
                </c:pt>
              </c:strCache>
            </c:strRef>
          </c:tx>
          <c:spPr>
            <a:solidFill>
              <a:srgbClr val="2E7D32"/>
            </a:solidFill>
            <a:ln>
              <a:noFill/>
            </a:ln>
            <a:effectLst/>
          </c:spPr>
          <c:invertIfNegative val="0"/>
          <c:cat>
            <c:strRef>
              <c:f>Charts!$B$134:$B$136</c:f>
              <c:strCache>
                <c:ptCount val="3"/>
                <c:pt idx="0">
                  <c:v>Claude Code</c:v>
                </c:pt>
                <c:pt idx="1">
                  <c:v>Cursor</c:v>
                </c:pt>
                <c:pt idx="2">
                  <c:v>Antigravity</c:v>
                </c:pt>
              </c:strCache>
            </c:strRef>
          </c:cat>
          <c:val>
            <c:numRef>
              <c:f>Charts!$C$134:$C$136</c:f>
              <c:numCache>
                <c:formatCode>General</c:formatCode>
                <c:ptCount val="3"/>
                <c:pt idx="0">
                  <c:v>8</c:v>
                </c:pt>
                <c:pt idx="1">
                  <c:v>4</c:v>
                </c:pt>
                <c:pt idx="2">
                  <c:v>3</c:v>
                </c:pt>
              </c:numCache>
            </c:numRef>
          </c:val>
          <c:extLst>
            <c:ext xmlns:c16="http://schemas.microsoft.com/office/drawing/2014/chart" uri="{C3380CC4-5D6E-409C-BE32-E72D297353CC}">
              <c16:uniqueId val="{00000000-0937-4904-8D40-73F055F9521D}"/>
            </c:ext>
          </c:extLst>
        </c:ser>
        <c:ser>
          <c:idx val="1"/>
          <c:order val="1"/>
          <c:tx>
            <c:strRef>
              <c:f>Charts!$D$133</c:f>
              <c:strCache>
                <c:ptCount val="1"/>
                <c:pt idx="0">
                  <c:v>PARTIAL</c:v>
                </c:pt>
              </c:strCache>
            </c:strRef>
          </c:tx>
          <c:spPr>
            <a:solidFill>
              <a:srgbClr val="F9A825"/>
            </a:solidFill>
            <a:ln>
              <a:noFill/>
            </a:ln>
            <a:effectLst/>
          </c:spPr>
          <c:invertIfNegative val="0"/>
          <c:cat>
            <c:strRef>
              <c:f>Charts!$B$134:$B$136</c:f>
              <c:strCache>
                <c:ptCount val="3"/>
                <c:pt idx="0">
                  <c:v>Claude Code</c:v>
                </c:pt>
                <c:pt idx="1">
                  <c:v>Cursor</c:v>
                </c:pt>
                <c:pt idx="2">
                  <c:v>Antigravity</c:v>
                </c:pt>
              </c:strCache>
            </c:strRef>
          </c:cat>
          <c:val>
            <c:numRef>
              <c:f>Charts!$D$134:$D$136</c:f>
              <c:numCache>
                <c:formatCode>General</c:formatCode>
                <c:ptCount val="3"/>
                <c:pt idx="0">
                  <c:v>2</c:v>
                </c:pt>
                <c:pt idx="1">
                  <c:v>5</c:v>
                </c:pt>
                <c:pt idx="2">
                  <c:v>5</c:v>
                </c:pt>
              </c:numCache>
            </c:numRef>
          </c:val>
          <c:extLst>
            <c:ext xmlns:c16="http://schemas.microsoft.com/office/drawing/2014/chart" uri="{C3380CC4-5D6E-409C-BE32-E72D297353CC}">
              <c16:uniqueId val="{00000001-0937-4904-8D40-73F055F9521D}"/>
            </c:ext>
          </c:extLst>
        </c:ser>
        <c:ser>
          <c:idx val="2"/>
          <c:order val="2"/>
          <c:tx>
            <c:strRef>
              <c:f>Charts!$E$133</c:f>
              <c:strCache>
                <c:ptCount val="1"/>
                <c:pt idx="0">
                  <c:v>FAIL</c:v>
                </c:pt>
              </c:strCache>
            </c:strRef>
          </c:tx>
          <c:spPr>
            <a:solidFill>
              <a:srgbClr val="C62828"/>
            </a:solidFill>
            <a:ln>
              <a:noFill/>
            </a:ln>
            <a:effectLst/>
          </c:spPr>
          <c:invertIfNegative val="0"/>
          <c:cat>
            <c:strRef>
              <c:f>Charts!$B$134:$B$136</c:f>
              <c:strCache>
                <c:ptCount val="3"/>
                <c:pt idx="0">
                  <c:v>Claude Code</c:v>
                </c:pt>
                <c:pt idx="1">
                  <c:v>Cursor</c:v>
                </c:pt>
                <c:pt idx="2">
                  <c:v>Antigravity</c:v>
                </c:pt>
              </c:strCache>
            </c:strRef>
          </c:cat>
          <c:val>
            <c:numRef>
              <c:f>Charts!$E$134:$E$136</c:f>
              <c:numCache>
                <c:formatCode>General</c:formatCode>
                <c:ptCount val="3"/>
                <c:pt idx="0">
                  <c:v>0</c:v>
                </c:pt>
                <c:pt idx="1">
                  <c:v>1</c:v>
                </c:pt>
                <c:pt idx="2">
                  <c:v>2</c:v>
                </c:pt>
              </c:numCache>
            </c:numRef>
          </c:val>
          <c:extLst>
            <c:ext xmlns:c16="http://schemas.microsoft.com/office/drawing/2014/chart" uri="{C3380CC4-5D6E-409C-BE32-E72D297353CC}">
              <c16:uniqueId val="{00000002-0937-4904-8D40-73F055F9521D}"/>
            </c:ext>
          </c:extLst>
        </c:ser>
        <c:dLbls>
          <c:showLegendKey val="0"/>
          <c:showVal val="0"/>
          <c:showCatName val="0"/>
          <c:showSerName val="0"/>
          <c:showPercent val="0"/>
          <c:showBubbleSize val="0"/>
        </c:dLbls>
        <c:gapWidth val="150"/>
        <c:overlap val="100"/>
        <c:axId val="1175487215"/>
        <c:axId val="1175488175"/>
      </c:barChart>
      <c:catAx>
        <c:axId val="11754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75488175"/>
        <c:crosses val="autoZero"/>
        <c:auto val="1"/>
        <c:lblAlgn val="ctr"/>
        <c:lblOffset val="100"/>
        <c:noMultiLvlLbl val="0"/>
      </c:catAx>
      <c:valAx>
        <c:axId val="117548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75487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0</xdr:colOff>
      <xdr:row>22</xdr:row>
      <xdr:rowOff>0</xdr:rowOff>
    </xdr:to>
    <xdr:graphicFrame macro="">
      <xdr:nvGraphicFramePr>
        <xdr:cNvPr id="2" name="Chart 1">
          <a:extLst>
            <a:ext uri="{FF2B5EF4-FFF2-40B4-BE49-F238E27FC236}">
              <a16:creationId xmlns:a16="http://schemas.microsoft.com/office/drawing/2014/main" id="{5E33ED25-B472-33BA-C9BC-FA27A9010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33</xdr:row>
      <xdr:rowOff>0</xdr:rowOff>
    </xdr:from>
    <xdr:to>
      <xdr:col>8</xdr:col>
      <xdr:colOff>0</xdr:colOff>
      <xdr:row>50</xdr:row>
      <xdr:rowOff>0</xdr:rowOff>
    </xdr:to>
    <xdr:graphicFrame macro="">
      <xdr:nvGraphicFramePr>
        <xdr:cNvPr id="3" name="Chart 2">
          <a:extLst>
            <a:ext uri="{FF2B5EF4-FFF2-40B4-BE49-F238E27FC236}">
              <a16:creationId xmlns:a16="http://schemas.microsoft.com/office/drawing/2014/main" id="{D1F711C4-D28B-37B4-C9FB-633028E0C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58</xdr:row>
      <xdr:rowOff>0</xdr:rowOff>
    </xdr:from>
    <xdr:to>
      <xdr:col>8</xdr:col>
      <xdr:colOff>0</xdr:colOff>
      <xdr:row>75</xdr:row>
      <xdr:rowOff>0</xdr:rowOff>
    </xdr:to>
    <xdr:graphicFrame macro="">
      <xdr:nvGraphicFramePr>
        <xdr:cNvPr id="4" name="Chart 3">
          <a:extLst>
            <a:ext uri="{FF2B5EF4-FFF2-40B4-BE49-F238E27FC236}">
              <a16:creationId xmlns:a16="http://schemas.microsoft.com/office/drawing/2014/main" id="{720829C2-AD27-6048-FAD7-1FC8A5470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86</xdr:row>
      <xdr:rowOff>0</xdr:rowOff>
    </xdr:from>
    <xdr:to>
      <xdr:col>8</xdr:col>
      <xdr:colOff>0</xdr:colOff>
      <xdr:row>103</xdr:row>
      <xdr:rowOff>0</xdr:rowOff>
    </xdr:to>
    <xdr:graphicFrame macro="">
      <xdr:nvGraphicFramePr>
        <xdr:cNvPr id="5" name="Chart 4">
          <a:extLst>
            <a:ext uri="{FF2B5EF4-FFF2-40B4-BE49-F238E27FC236}">
              <a16:creationId xmlns:a16="http://schemas.microsoft.com/office/drawing/2014/main" id="{BCA38531-BE44-FF54-C23B-5DD11CCEB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112</xdr:row>
      <xdr:rowOff>0</xdr:rowOff>
    </xdr:from>
    <xdr:to>
      <xdr:col>8</xdr:col>
      <xdr:colOff>0</xdr:colOff>
      <xdr:row>129</xdr:row>
      <xdr:rowOff>0</xdr:rowOff>
    </xdr:to>
    <xdr:graphicFrame macro="">
      <xdr:nvGraphicFramePr>
        <xdr:cNvPr id="6" name="Chart 5">
          <a:extLst>
            <a:ext uri="{FF2B5EF4-FFF2-40B4-BE49-F238E27FC236}">
              <a16:creationId xmlns:a16="http://schemas.microsoft.com/office/drawing/2014/main" id="{937FD776-08C4-D147-E19D-FB8AF99CF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137</xdr:row>
      <xdr:rowOff>0</xdr:rowOff>
    </xdr:from>
    <xdr:to>
      <xdr:col>8</xdr:col>
      <xdr:colOff>0</xdr:colOff>
      <xdr:row>154</xdr:row>
      <xdr:rowOff>0</xdr:rowOff>
    </xdr:to>
    <xdr:graphicFrame macro="">
      <xdr:nvGraphicFramePr>
        <xdr:cNvPr id="7" name="Chart 6">
          <a:extLst>
            <a:ext uri="{FF2B5EF4-FFF2-40B4-BE49-F238E27FC236}">
              <a16:creationId xmlns:a16="http://schemas.microsoft.com/office/drawing/2014/main" id="{91815F4F-DFE0-7BB6-5174-9BAE535FD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Inessa Costa" id="{3FDBCC69-9DC0-4F44-9AB7-2931B5608E4C}" userId="07afcbc2bf95f271"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6" dT="2026-03-18T12:38:11.96" personId="{3FDBCC69-9DC0-4F44-9AB7-2931B5608E4C}" id="{F0A81140-9F82-4780-9518-4D1BD1F72903}">
    <text>Baseline: Ridge Regression = 0.5155
Random Forest = 0.7519
XGBoost = 0.7504</text>
  </threadedComment>
  <threadedComment ref="E6" dT="2026-03-18T12:44:29.23" personId="{3FDBCC69-9DC0-4F44-9AB7-2931B5608E4C}" id="{1982EBB6-C17C-448A-B795-BF9364FC6ABF}">
    <text>Baseline: Random Forest = 0.6330
Gradient Boosting = 0.5904</text>
  </threadedComment>
  <threadedComment ref="F6" dT="2026-03-18T12:39:45.95" personId="{3FDBCC69-9DC0-4F44-9AB7-2931B5608E4C}" id="{0F066AA0-8D4E-420E-92C8-2A97189AF786}">
    <text>Baseline: Ridge Regression = 0.4381
Gradient Boosting = 0.5066</text>
  </threadedComment>
  <threadedComment ref="D8" dT="2026-03-18T12:51:56.27" personId="{3FDBCC69-9DC0-4F44-9AB7-2931B5608E4C}" id="{36F0E6D5-C18E-438F-800D-DCC56DECA3CF}">
    <text>Not tuning</text>
  </threadedComment>
  <threadedComment ref="F8" dT="2026-03-18T12:51:56.27" personId="{3FDBCC69-9DC0-4F44-9AB7-2931B5608E4C}" id="{3F678810-780A-4BEE-85CA-036F0150B212}">
    <text>Not tuning</text>
  </threadedComment>
  <threadedComment ref="E14" dT="2026-03-18T13:13:10.98" personId="{3FDBCC69-9DC0-4F44-9AB7-2931B5608E4C}" id="{F43F691D-13D5-4D9D-A6A8-222923668C13}">
    <text>It did not recognise the improved model was performing worse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C14835-879B-4479-B7C5-0E1B63F79E4B}">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E6BEE-5FED-4576-9A33-FDCBBFFC3DB9}">
  <dimension ref="B2:F6"/>
  <sheetViews>
    <sheetView showGridLines="0" topLeftCell="A3" zoomScale="70" zoomScaleNormal="70" workbookViewId="0">
      <selection activeCell="B6" sqref="B6:F6"/>
    </sheetView>
  </sheetViews>
  <sheetFormatPr defaultColWidth="9" defaultRowHeight="13.5" x14ac:dyDescent="0.45"/>
  <cols>
    <col min="1" max="1" width="2.59765625" style="1" customWidth="1"/>
    <col min="2" max="2" width="14" style="1" customWidth="1"/>
    <col min="3" max="3" width="45.265625" style="1" customWidth="1"/>
    <col min="4" max="5" width="18" style="1" customWidth="1"/>
    <col min="6" max="6" width="56.86328125" style="1" customWidth="1"/>
    <col min="7" max="7" width="17.3984375" style="1" customWidth="1"/>
    <col min="8" max="16384" width="9" style="1"/>
  </cols>
  <sheetData>
    <row r="2" spans="2:6" ht="18" customHeight="1" x14ac:dyDescent="0.45">
      <c r="B2" s="39" t="s">
        <v>0</v>
      </c>
      <c r="C2" s="40"/>
      <c r="D2" s="40"/>
      <c r="E2" s="40"/>
      <c r="F2" s="41"/>
    </row>
    <row r="3" spans="2:6" ht="409.6" customHeight="1" x14ac:dyDescent="0.45">
      <c r="B3" s="42" t="s">
        <v>1</v>
      </c>
      <c r="C3" s="43"/>
      <c r="D3" s="43"/>
      <c r="E3" s="43"/>
      <c r="F3" s="44"/>
    </row>
    <row r="4" spans="2:6" s="2" customFormat="1" ht="11.85" customHeight="1" x14ac:dyDescent="0.35"/>
    <row r="5" spans="2:6" ht="18" customHeight="1" x14ac:dyDescent="0.45">
      <c r="B5" s="39" t="s">
        <v>2</v>
      </c>
      <c r="C5" s="40"/>
      <c r="D5" s="40"/>
      <c r="E5" s="40"/>
      <c r="F5" s="41"/>
    </row>
    <row r="6" spans="2:6" ht="209.25" customHeight="1" x14ac:dyDescent="0.45">
      <c r="B6" s="42" t="s">
        <v>151</v>
      </c>
      <c r="C6" s="43"/>
      <c r="D6" s="43"/>
      <c r="E6" s="43"/>
      <c r="F6" s="44"/>
    </row>
  </sheetData>
  <mergeCells count="4">
    <mergeCell ref="B5:F5"/>
    <mergeCell ref="B6:F6"/>
    <mergeCell ref="B2:F2"/>
    <mergeCell ref="B3:F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CDE4-E015-49DD-AC85-1773D297E4B8}">
  <sheetPr>
    <tabColor rgb="FFC00000"/>
  </sheetPr>
  <dimension ref="B2:E18"/>
  <sheetViews>
    <sheetView showGridLines="0" tabSelected="1" zoomScale="70" zoomScaleNormal="70" workbookViewId="0">
      <pane ySplit="4" topLeftCell="A5" activePane="bottomLeft" state="frozen"/>
      <selection activeCell="B6" sqref="B6:F6"/>
      <selection pane="bottomLeft" activeCell="C15" sqref="C15"/>
    </sheetView>
  </sheetViews>
  <sheetFormatPr defaultColWidth="9" defaultRowHeight="13.5" x14ac:dyDescent="0.45"/>
  <cols>
    <col min="1" max="1" width="2.86328125" style="1" customWidth="1"/>
    <col min="2" max="2" width="24.265625" style="1" customWidth="1"/>
    <col min="3" max="3" width="56" style="1" customWidth="1"/>
    <col min="4" max="4" width="46.59765625" style="1" customWidth="1"/>
    <col min="5" max="5" width="50.86328125" style="1" customWidth="1"/>
    <col min="6" max="16384" width="9" style="1"/>
  </cols>
  <sheetData>
    <row r="2" spans="2:5" ht="34.15" customHeight="1" x14ac:dyDescent="0.45">
      <c r="B2" s="45" t="s">
        <v>6</v>
      </c>
      <c r="C2" s="45"/>
      <c r="D2" s="45"/>
      <c r="E2" s="45"/>
    </row>
    <row r="4" spans="2:5" x14ac:dyDescent="0.45">
      <c r="B4" s="38" t="s">
        <v>7</v>
      </c>
      <c r="C4" s="7" t="s">
        <v>3</v>
      </c>
      <c r="D4" s="7" t="s">
        <v>4</v>
      </c>
      <c r="E4" s="7" t="s">
        <v>5</v>
      </c>
    </row>
    <row r="5" spans="2:5" ht="57" customHeight="1" x14ac:dyDescent="0.45">
      <c r="B5" s="8" t="s">
        <v>8</v>
      </c>
      <c r="C5" s="9" t="s">
        <v>152</v>
      </c>
      <c r="D5" s="9" t="s">
        <v>9</v>
      </c>
      <c r="E5" s="10" t="s">
        <v>10</v>
      </c>
    </row>
    <row r="6" spans="2:5" ht="63.75" customHeight="1" x14ac:dyDescent="0.45">
      <c r="B6" s="8" t="s">
        <v>11</v>
      </c>
      <c r="C6" s="9" t="s">
        <v>153</v>
      </c>
      <c r="D6" s="9" t="s">
        <v>12</v>
      </c>
      <c r="E6" s="10" t="s">
        <v>13</v>
      </c>
    </row>
    <row r="7" spans="2:5" ht="43.9" customHeight="1" x14ac:dyDescent="0.45">
      <c r="B7" s="8" t="s">
        <v>14</v>
      </c>
      <c r="C7" s="9" t="s">
        <v>154</v>
      </c>
      <c r="D7" s="9" t="s">
        <v>15</v>
      </c>
      <c r="E7" s="11" t="s">
        <v>16</v>
      </c>
    </row>
    <row r="8" spans="2:5" ht="64.900000000000006" customHeight="1" x14ac:dyDescent="0.45">
      <c r="B8" s="8" t="s">
        <v>17</v>
      </c>
      <c r="C8" s="9" t="s">
        <v>155</v>
      </c>
      <c r="D8" s="9" t="s">
        <v>18</v>
      </c>
      <c r="E8" s="10" t="s">
        <v>19</v>
      </c>
    </row>
    <row r="9" spans="2:5" ht="66" customHeight="1" x14ac:dyDescent="0.45">
      <c r="B9" s="8" t="s">
        <v>20</v>
      </c>
      <c r="C9" s="9" t="s">
        <v>156</v>
      </c>
      <c r="D9" s="9" t="s">
        <v>21</v>
      </c>
      <c r="E9" s="11" t="s">
        <v>22</v>
      </c>
    </row>
    <row r="10" spans="2:5" ht="74.25" customHeight="1" x14ac:dyDescent="0.45">
      <c r="B10" s="8" t="s">
        <v>23</v>
      </c>
      <c r="C10" s="9" t="s">
        <v>157</v>
      </c>
      <c r="D10" s="9" t="s">
        <v>24</v>
      </c>
      <c r="E10" s="11" t="s">
        <v>25</v>
      </c>
    </row>
    <row r="11" spans="2:5" ht="54" x14ac:dyDescent="0.45">
      <c r="B11" s="8" t="s">
        <v>26</v>
      </c>
      <c r="C11" s="9" t="s">
        <v>158</v>
      </c>
      <c r="D11" s="9" t="s">
        <v>27</v>
      </c>
      <c r="E11" s="11" t="s">
        <v>28</v>
      </c>
    </row>
    <row r="12" spans="2:5" ht="40.5" x14ac:dyDescent="0.45">
      <c r="B12" s="8" t="s">
        <v>29</v>
      </c>
      <c r="C12" s="9" t="s">
        <v>159</v>
      </c>
      <c r="D12" s="9" t="s">
        <v>30</v>
      </c>
      <c r="E12" s="11" t="s">
        <v>31</v>
      </c>
    </row>
    <row r="13" spans="2:5" ht="43.9" customHeight="1" x14ac:dyDescent="0.45">
      <c r="B13" s="8" t="s">
        <v>32</v>
      </c>
      <c r="C13" s="9" t="s">
        <v>160</v>
      </c>
      <c r="D13" s="9" t="s">
        <v>33</v>
      </c>
      <c r="E13" s="11" t="s">
        <v>34</v>
      </c>
    </row>
    <row r="14" spans="2:5" ht="43.9" customHeight="1" x14ac:dyDescent="0.45">
      <c r="B14" s="8" t="s">
        <v>35</v>
      </c>
      <c r="C14" s="9" t="s">
        <v>161</v>
      </c>
      <c r="D14" s="9" t="s">
        <v>36</v>
      </c>
      <c r="E14" s="11" t="s">
        <v>37</v>
      </c>
    </row>
    <row r="15" spans="2:5" ht="81" x14ac:dyDescent="0.45">
      <c r="B15" s="8" t="s">
        <v>38</v>
      </c>
      <c r="C15" s="9" t="s">
        <v>186</v>
      </c>
      <c r="D15" s="9" t="s">
        <v>39</v>
      </c>
      <c r="E15" s="11" t="s">
        <v>40</v>
      </c>
    </row>
    <row r="16" spans="2:5" ht="67.5" customHeight="1" x14ac:dyDescent="0.45">
      <c r="B16" s="8" t="s">
        <v>41</v>
      </c>
      <c r="C16" s="9" t="s">
        <v>162</v>
      </c>
      <c r="D16" s="9" t="s">
        <v>42</v>
      </c>
      <c r="E16" s="11" t="s">
        <v>43</v>
      </c>
    </row>
    <row r="17" spans="2:5" ht="40.5" x14ac:dyDescent="0.45">
      <c r="B17" s="8" t="s">
        <v>44</v>
      </c>
      <c r="C17" s="9" t="s">
        <v>185</v>
      </c>
      <c r="D17" s="9" t="s">
        <v>45</v>
      </c>
      <c r="E17" s="11" t="s">
        <v>46</v>
      </c>
    </row>
    <row r="18" spans="2:5" ht="58.15" customHeight="1" x14ac:dyDescent="0.45">
      <c r="B18" s="8" t="s">
        <v>47</v>
      </c>
      <c r="C18" s="9" t="s">
        <v>184</v>
      </c>
      <c r="D18" s="9" t="s">
        <v>48</v>
      </c>
      <c r="E18" s="11" t="s">
        <v>49</v>
      </c>
    </row>
  </sheetData>
  <mergeCells count="1">
    <mergeCell ref="B2:E2"/>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D44E0-10F7-4D49-8891-DFC1733C0DEF}">
  <sheetPr>
    <tabColor rgb="FFC00000"/>
  </sheetPr>
  <dimension ref="B1:K26"/>
  <sheetViews>
    <sheetView showGridLines="0" zoomScale="80" zoomScaleNormal="80" workbookViewId="0">
      <pane ySplit="4" topLeftCell="A5" activePane="bottomLeft" state="frozen"/>
      <selection activeCell="D26" sqref="D26:F26"/>
      <selection pane="bottomLeft" activeCell="D26" sqref="D26:F26"/>
    </sheetView>
  </sheetViews>
  <sheetFormatPr defaultColWidth="8.73046875" defaultRowHeight="13.5" x14ac:dyDescent="0.35"/>
  <cols>
    <col min="1" max="1" width="3" style="6" customWidth="1"/>
    <col min="2" max="2" width="28.3984375" style="31" customWidth="1"/>
    <col min="3" max="3" width="89" style="32" customWidth="1"/>
    <col min="4" max="6" width="13" style="6" customWidth="1"/>
    <col min="7" max="7" width="30" style="6" customWidth="1"/>
    <col min="8" max="16384" width="8.73046875" style="6"/>
  </cols>
  <sheetData>
    <row r="1" spans="2:11" s="1" customFormat="1" x14ac:dyDescent="0.45">
      <c r="B1" s="27"/>
    </row>
    <row r="2" spans="2:11" s="1" customFormat="1" ht="34.15" customHeight="1" x14ac:dyDescent="0.45">
      <c r="B2" s="45" t="s">
        <v>50</v>
      </c>
      <c r="C2" s="45"/>
      <c r="D2" s="45"/>
      <c r="E2" s="45"/>
      <c r="F2" s="45"/>
      <c r="G2" s="45"/>
      <c r="I2" s="50" t="s">
        <v>51</v>
      </c>
      <c r="J2" s="50"/>
      <c r="K2" s="50"/>
    </row>
    <row r="3" spans="2:11" s="2" customFormat="1" ht="18" customHeight="1" x14ac:dyDescent="0.35">
      <c r="B3" s="28"/>
      <c r="C3" s="1"/>
      <c r="I3" s="3" t="s">
        <v>52</v>
      </c>
      <c r="J3" s="4" t="s">
        <v>53</v>
      </c>
      <c r="K3" s="5" t="s">
        <v>54</v>
      </c>
    </row>
    <row r="4" spans="2:11" ht="24" customHeight="1" x14ac:dyDescent="0.35">
      <c r="B4" s="17" t="s">
        <v>58</v>
      </c>
      <c r="C4" s="17" t="s">
        <v>59</v>
      </c>
      <c r="D4" s="17" t="s">
        <v>3</v>
      </c>
      <c r="E4" s="17" t="s">
        <v>4</v>
      </c>
      <c r="F4" s="17" t="s">
        <v>5</v>
      </c>
      <c r="G4" s="17" t="s">
        <v>56</v>
      </c>
    </row>
    <row r="5" spans="2:11" ht="15.75" customHeight="1" x14ac:dyDescent="0.35">
      <c r="B5" s="51" t="s">
        <v>60</v>
      </c>
      <c r="C5" s="51"/>
      <c r="D5" s="51"/>
      <c r="E5" s="51"/>
      <c r="F5" s="51"/>
      <c r="G5" s="51"/>
      <c r="J5" s="1"/>
    </row>
    <row r="6" spans="2:11" ht="63" customHeight="1" x14ac:dyDescent="0.35">
      <c r="B6" s="29" t="s">
        <v>61</v>
      </c>
      <c r="C6" s="15" t="s">
        <v>62</v>
      </c>
      <c r="D6" s="16" t="s">
        <v>52</v>
      </c>
      <c r="E6" s="16" t="s">
        <v>54</v>
      </c>
      <c r="F6" s="16" t="s">
        <v>52</v>
      </c>
      <c r="G6" s="15"/>
    </row>
    <row r="7" spans="2:11" ht="57" customHeight="1" x14ac:dyDescent="0.35">
      <c r="B7" s="30" t="s">
        <v>63</v>
      </c>
      <c r="C7" s="18" t="s">
        <v>64</v>
      </c>
      <c r="D7" s="16" t="s">
        <v>52</v>
      </c>
      <c r="E7" s="16" t="s">
        <v>53</v>
      </c>
      <c r="F7" s="16" t="s">
        <v>53</v>
      </c>
      <c r="G7" s="18"/>
      <c r="J7" s="2"/>
    </row>
    <row r="8" spans="2:11" ht="67.150000000000006" customHeight="1" x14ac:dyDescent="0.35">
      <c r="B8" s="29" t="s">
        <v>65</v>
      </c>
      <c r="C8" s="15" t="s">
        <v>150</v>
      </c>
      <c r="D8" s="16" t="s">
        <v>53</v>
      </c>
      <c r="E8" s="16" t="s">
        <v>52</v>
      </c>
      <c r="F8" s="16" t="s">
        <v>53</v>
      </c>
      <c r="G8" s="15"/>
    </row>
    <row r="9" spans="2:11" ht="19.5" customHeight="1" x14ac:dyDescent="0.35">
      <c r="B9" s="46" t="s">
        <v>57</v>
      </c>
      <c r="C9" s="46"/>
      <c r="D9" s="19">
        <f>COUNTIFS(D6:D8,"PASS")</f>
        <v>2</v>
      </c>
      <c r="E9" s="19">
        <f t="shared" ref="E9:F9" si="0">COUNTIFS(E6:E8,"PASS")</f>
        <v>1</v>
      </c>
      <c r="F9" s="19">
        <f t="shared" si="0"/>
        <v>1</v>
      </c>
      <c r="G9" s="20"/>
    </row>
    <row r="10" spans="2:11" customFormat="1" ht="19.5" customHeight="1" x14ac:dyDescent="0.45"/>
    <row r="11" spans="2:11" ht="15.75" customHeight="1" x14ac:dyDescent="0.35">
      <c r="B11" s="51" t="s">
        <v>66</v>
      </c>
      <c r="C11" s="51"/>
      <c r="D11" s="51"/>
      <c r="E11" s="51"/>
      <c r="F11" s="51"/>
      <c r="G11" s="51"/>
    </row>
    <row r="12" spans="2:11" ht="75.400000000000006" customHeight="1" x14ac:dyDescent="0.35">
      <c r="B12" s="29" t="s">
        <v>67</v>
      </c>
      <c r="C12" s="15" t="s">
        <v>68</v>
      </c>
      <c r="D12" s="16" t="s">
        <v>53</v>
      </c>
      <c r="E12" s="16" t="s">
        <v>53</v>
      </c>
      <c r="F12" s="16" t="s">
        <v>52</v>
      </c>
      <c r="G12" s="15"/>
    </row>
    <row r="13" spans="2:11" ht="100.5" customHeight="1" x14ac:dyDescent="0.35">
      <c r="B13" s="29" t="s">
        <v>69</v>
      </c>
      <c r="C13" s="15" t="s">
        <v>70</v>
      </c>
      <c r="D13" s="16" t="s">
        <v>52</v>
      </c>
      <c r="E13" s="16" t="s">
        <v>53</v>
      </c>
      <c r="F13" s="16" t="s">
        <v>54</v>
      </c>
      <c r="G13" s="15"/>
    </row>
    <row r="14" spans="2:11" ht="69" customHeight="1" x14ac:dyDescent="0.35">
      <c r="B14" s="29" t="s">
        <v>71</v>
      </c>
      <c r="C14" s="15" t="s">
        <v>72</v>
      </c>
      <c r="D14" s="16" t="s">
        <v>52</v>
      </c>
      <c r="E14" s="16" t="s">
        <v>53</v>
      </c>
      <c r="F14" s="16" t="s">
        <v>52</v>
      </c>
      <c r="G14" s="15"/>
    </row>
    <row r="15" spans="2:11" ht="67.5" customHeight="1" x14ac:dyDescent="0.35">
      <c r="B15" s="30" t="s">
        <v>73</v>
      </c>
      <c r="C15" s="18" t="s">
        <v>74</v>
      </c>
      <c r="D15" s="16" t="s">
        <v>52</v>
      </c>
      <c r="E15" s="16" t="s">
        <v>53</v>
      </c>
      <c r="F15" s="16" t="s">
        <v>53</v>
      </c>
      <c r="G15" s="18"/>
    </row>
    <row r="16" spans="2:11" ht="19.5" customHeight="1" x14ac:dyDescent="0.35">
      <c r="B16" s="46" t="s">
        <v>57</v>
      </c>
      <c r="C16" s="46"/>
      <c r="D16" s="19">
        <f>COUNTIFS(D12:D15,"PASS")</f>
        <v>3</v>
      </c>
      <c r="E16" s="19">
        <f t="shared" ref="E16:F16" si="1">COUNTIFS(E12:E15,"PASS")</f>
        <v>0</v>
      </c>
      <c r="F16" s="19">
        <f t="shared" si="1"/>
        <v>2</v>
      </c>
      <c r="G16" s="20"/>
    </row>
    <row r="17" spans="2:7" customFormat="1" ht="19.5" customHeight="1" x14ac:dyDescent="0.45"/>
    <row r="18" spans="2:7" ht="15.75" customHeight="1" x14ac:dyDescent="0.35">
      <c r="B18" s="51" t="s">
        <v>75</v>
      </c>
      <c r="C18" s="51"/>
      <c r="D18" s="51"/>
      <c r="E18" s="51"/>
      <c r="F18" s="51"/>
      <c r="G18" s="51"/>
    </row>
    <row r="19" spans="2:7" ht="64.150000000000006" customHeight="1" x14ac:dyDescent="0.35">
      <c r="B19" s="29" t="s">
        <v>76</v>
      </c>
      <c r="C19" s="15" t="s">
        <v>77</v>
      </c>
      <c r="D19" s="16" t="s">
        <v>52</v>
      </c>
      <c r="E19" s="16" t="s">
        <v>52</v>
      </c>
      <c r="F19" s="16" t="s">
        <v>53</v>
      </c>
      <c r="G19" s="15"/>
    </row>
    <row r="20" spans="2:7" ht="69.75" customHeight="1" x14ac:dyDescent="0.35">
      <c r="B20" s="30" t="s">
        <v>78</v>
      </c>
      <c r="C20" s="18" t="s">
        <v>79</v>
      </c>
      <c r="D20" s="16" t="s">
        <v>52</v>
      </c>
      <c r="E20" s="16" t="s">
        <v>52</v>
      </c>
      <c r="F20" s="16" t="s">
        <v>53</v>
      </c>
      <c r="G20" s="18"/>
    </row>
    <row r="21" spans="2:7" ht="67.150000000000006" customHeight="1" x14ac:dyDescent="0.35">
      <c r="B21" s="29" t="s">
        <v>80</v>
      </c>
      <c r="C21" s="15" t="s">
        <v>81</v>
      </c>
      <c r="D21" s="16" t="s">
        <v>52</v>
      </c>
      <c r="E21" s="16" t="s">
        <v>52</v>
      </c>
      <c r="F21" s="16" t="s">
        <v>53</v>
      </c>
      <c r="G21" s="15"/>
    </row>
    <row r="22" spans="2:7" ht="19.5" customHeight="1" x14ac:dyDescent="0.35">
      <c r="B22" s="46" t="s">
        <v>57</v>
      </c>
      <c r="C22" s="46"/>
      <c r="D22" s="19">
        <f>COUNTIFS(D19:D21,"PASS")</f>
        <v>3</v>
      </c>
      <c r="E22" s="19">
        <f t="shared" ref="E22" si="2">COUNTIFS(E19:E21,"PASS")</f>
        <v>3</v>
      </c>
      <c r="F22" s="19">
        <f t="shared" ref="F22" si="3">COUNTIFS(F19:F21,"PASS")</f>
        <v>0</v>
      </c>
      <c r="G22" s="20"/>
    </row>
    <row r="24" spans="2:7" ht="28.5" customHeight="1" x14ac:dyDescent="0.35">
      <c r="D24" s="17" t="s">
        <v>3</v>
      </c>
      <c r="E24" s="17" t="s">
        <v>4</v>
      </c>
      <c r="F24" s="17" t="s">
        <v>5</v>
      </c>
    </row>
    <row r="25" spans="2:7" ht="28.9" customHeight="1" x14ac:dyDescent="0.45">
      <c r="B25" s="46" t="s">
        <v>82</v>
      </c>
      <c r="C25" s="46"/>
      <c r="D25" s="33">
        <f>COUNTIFS(D6:D21,"PASS")/10</f>
        <v>0.8</v>
      </c>
      <c r="E25" s="33">
        <f>COUNTIFS(E6:E21,"PASS")/10</f>
        <v>0.4</v>
      </c>
      <c r="F25" s="33">
        <f>COUNTIFS(F6:F21,"PASS")/10</f>
        <v>0.3</v>
      </c>
      <c r="G25"/>
    </row>
    <row r="26" spans="2:7" ht="28.9" customHeight="1" x14ac:dyDescent="0.35">
      <c r="B26" s="46" t="s">
        <v>145</v>
      </c>
      <c r="C26" s="46"/>
      <c r="D26" s="47">
        <v>0.375</v>
      </c>
      <c r="E26" s="48"/>
      <c r="F26" s="49"/>
    </row>
  </sheetData>
  <mergeCells count="11">
    <mergeCell ref="B26:C26"/>
    <mergeCell ref="D26:F26"/>
    <mergeCell ref="B25:C25"/>
    <mergeCell ref="I2:K2"/>
    <mergeCell ref="B18:G18"/>
    <mergeCell ref="B22:C22"/>
    <mergeCell ref="B2:G2"/>
    <mergeCell ref="B5:G5"/>
    <mergeCell ref="B11:G11"/>
    <mergeCell ref="B16:C16"/>
    <mergeCell ref="B9:C9"/>
  </mergeCells>
  <pageMargins left="0.75" right="0.75" top="1" bottom="1"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B2:J63"/>
  <sheetViews>
    <sheetView showGridLines="0" zoomScale="70" zoomScaleNormal="70" workbookViewId="0">
      <selection activeCell="B16" sqref="B16:B17"/>
    </sheetView>
  </sheetViews>
  <sheetFormatPr defaultColWidth="9" defaultRowHeight="13.5" outlineLevelRow="1" x14ac:dyDescent="0.45"/>
  <cols>
    <col min="1" max="1" width="2.59765625" style="1" customWidth="1"/>
    <col min="2" max="2" width="20" style="1" customWidth="1"/>
    <col min="3" max="3" width="37.265625" style="1" customWidth="1"/>
    <col min="4" max="4" width="10" style="1" customWidth="1"/>
    <col min="5" max="8" width="22" style="1" customWidth="1"/>
    <col min="9" max="9" width="27.9296875" style="1" customWidth="1"/>
    <col min="10" max="10" width="22" style="1" customWidth="1"/>
    <col min="11" max="16384" width="9" style="1"/>
  </cols>
  <sheetData>
    <row r="2" spans="2:10" ht="34.15" customHeight="1" x14ac:dyDescent="0.45">
      <c r="B2" s="45" t="s">
        <v>83</v>
      </c>
      <c r="C2" s="65"/>
      <c r="D2" s="65"/>
      <c r="E2" s="65"/>
      <c r="F2" s="65"/>
      <c r="G2" s="65"/>
      <c r="H2" s="65"/>
      <c r="I2" s="65"/>
      <c r="J2" s="65"/>
    </row>
    <row r="4" spans="2:10" ht="18" customHeight="1" x14ac:dyDescent="0.45">
      <c r="B4" s="71" t="s">
        <v>84</v>
      </c>
      <c r="C4" s="72"/>
      <c r="D4" s="72"/>
      <c r="E4" s="72"/>
      <c r="F4" s="72"/>
      <c r="G4" s="72"/>
      <c r="H4" s="72"/>
      <c r="I4" s="72"/>
    </row>
    <row r="5" spans="2:10" ht="18" customHeight="1" x14ac:dyDescent="0.45">
      <c r="B5" s="21" t="s">
        <v>85</v>
      </c>
      <c r="C5" s="21" t="s">
        <v>86</v>
      </c>
      <c r="D5" s="21" t="s">
        <v>87</v>
      </c>
      <c r="E5" s="21" t="s">
        <v>88</v>
      </c>
      <c r="F5" s="21" t="s">
        <v>89</v>
      </c>
      <c r="G5" s="21" t="s">
        <v>90</v>
      </c>
      <c r="H5" s="21" t="s">
        <v>91</v>
      </c>
      <c r="I5" s="21" t="s">
        <v>92</v>
      </c>
    </row>
    <row r="6" spans="2:10" ht="32.1" customHeight="1" x14ac:dyDescent="0.45">
      <c r="B6" s="12" t="s">
        <v>93</v>
      </c>
      <c r="C6" s="13" t="s">
        <v>94</v>
      </c>
      <c r="D6" s="14">
        <v>30</v>
      </c>
      <c r="E6" s="13" t="s">
        <v>95</v>
      </c>
      <c r="F6" s="13" t="s">
        <v>96</v>
      </c>
      <c r="G6" s="13" t="s">
        <v>97</v>
      </c>
      <c r="H6" s="13" t="s">
        <v>98</v>
      </c>
      <c r="I6" s="13" t="s">
        <v>99</v>
      </c>
    </row>
    <row r="7" spans="2:10" ht="32.1" customHeight="1" x14ac:dyDescent="0.45">
      <c r="B7" s="12" t="s">
        <v>100</v>
      </c>
      <c r="C7" s="13" t="s">
        <v>147</v>
      </c>
      <c r="D7" s="14">
        <v>25</v>
      </c>
      <c r="E7" s="13" t="s">
        <v>101</v>
      </c>
      <c r="F7" s="13" t="s">
        <v>102</v>
      </c>
      <c r="G7" s="13" t="s">
        <v>183</v>
      </c>
      <c r="H7" s="13" t="s">
        <v>149</v>
      </c>
      <c r="I7" s="13" t="s">
        <v>148</v>
      </c>
    </row>
    <row r="8" spans="2:10" ht="32.1" customHeight="1" x14ac:dyDescent="0.45">
      <c r="B8" s="12" t="s">
        <v>103</v>
      </c>
      <c r="C8" s="13" t="s">
        <v>146</v>
      </c>
      <c r="D8" s="14">
        <v>20</v>
      </c>
      <c r="E8" s="13" t="s">
        <v>104</v>
      </c>
      <c r="F8" s="13" t="s">
        <v>105</v>
      </c>
      <c r="G8" s="13" t="s">
        <v>106</v>
      </c>
      <c r="H8" s="13" t="s">
        <v>107</v>
      </c>
      <c r="I8" s="13" t="s">
        <v>108</v>
      </c>
    </row>
    <row r="9" spans="2:10" ht="32.1" customHeight="1" x14ac:dyDescent="0.45">
      <c r="B9" s="12" t="s">
        <v>109</v>
      </c>
      <c r="C9" s="13" t="s">
        <v>110</v>
      </c>
      <c r="D9" s="14">
        <v>10</v>
      </c>
      <c r="E9" s="13" t="s">
        <v>111</v>
      </c>
      <c r="F9" s="13" t="s">
        <v>112</v>
      </c>
      <c r="G9" s="13" t="s">
        <v>113</v>
      </c>
      <c r="H9" s="13" t="s">
        <v>114</v>
      </c>
      <c r="I9" s="13" t="s">
        <v>115</v>
      </c>
    </row>
    <row r="10" spans="2:10" ht="32.1" customHeight="1" x14ac:dyDescent="0.45">
      <c r="B10" s="12" t="s">
        <v>116</v>
      </c>
      <c r="C10" s="13" t="s">
        <v>117</v>
      </c>
      <c r="D10" s="14">
        <v>10</v>
      </c>
      <c r="E10" s="13" t="s">
        <v>118</v>
      </c>
      <c r="F10" s="13" t="s">
        <v>119</v>
      </c>
      <c r="G10" s="13" t="s">
        <v>120</v>
      </c>
      <c r="H10" s="13" t="s">
        <v>121</v>
      </c>
      <c r="I10" s="13" t="s">
        <v>122</v>
      </c>
    </row>
    <row r="11" spans="2:10" ht="32.1" customHeight="1" x14ac:dyDescent="0.45">
      <c r="B11" s="12" t="s">
        <v>123</v>
      </c>
      <c r="C11" s="13" t="s">
        <v>124</v>
      </c>
      <c r="D11" s="14">
        <v>5</v>
      </c>
      <c r="E11" s="13" t="s">
        <v>125</v>
      </c>
      <c r="F11" s="13" t="s">
        <v>126</v>
      </c>
      <c r="G11" s="13" t="s">
        <v>127</v>
      </c>
      <c r="H11" s="13" t="s">
        <v>128</v>
      </c>
      <c r="I11" s="13" t="s">
        <v>129</v>
      </c>
    </row>
    <row r="12" spans="2:10" ht="18" customHeight="1" x14ac:dyDescent="0.45">
      <c r="D12" s="21">
        <f>SUM(D6:D11)</f>
        <v>100</v>
      </c>
    </row>
    <row r="15" spans="2:10" ht="18" customHeight="1" x14ac:dyDescent="0.45">
      <c r="B15" s="69" t="s">
        <v>130</v>
      </c>
      <c r="C15" s="73"/>
      <c r="D15" s="73"/>
      <c r="E15" s="73"/>
      <c r="F15" s="73"/>
      <c r="G15" s="73"/>
      <c r="H15" s="73"/>
      <c r="I15" s="73"/>
      <c r="J15" s="74"/>
    </row>
    <row r="16" spans="2:10" ht="20.100000000000001" customHeight="1" x14ac:dyDescent="0.45">
      <c r="B16" s="59" t="s">
        <v>55</v>
      </c>
      <c r="C16" s="59" t="s">
        <v>85</v>
      </c>
      <c r="D16" s="59" t="s">
        <v>87</v>
      </c>
      <c r="E16" s="69" t="s">
        <v>3</v>
      </c>
      <c r="F16" s="70"/>
      <c r="G16" s="69" t="s">
        <v>4</v>
      </c>
      <c r="H16" s="70"/>
      <c r="I16" s="69" t="s">
        <v>5</v>
      </c>
      <c r="J16" s="70"/>
    </row>
    <row r="17" spans="2:10" ht="18" customHeight="1" x14ac:dyDescent="0.45">
      <c r="B17" s="60"/>
      <c r="C17" s="60"/>
      <c r="D17" s="60"/>
      <c r="E17" s="22" t="s">
        <v>131</v>
      </c>
      <c r="F17" s="22" t="s">
        <v>132</v>
      </c>
      <c r="G17" s="22" t="s">
        <v>131</v>
      </c>
      <c r="H17" s="22" t="s">
        <v>132</v>
      </c>
      <c r="I17" s="22" t="s">
        <v>131</v>
      </c>
      <c r="J17" s="22" t="s">
        <v>132</v>
      </c>
    </row>
    <row r="18" spans="2:10" ht="22.15" customHeight="1" x14ac:dyDescent="0.45">
      <c r="B18" s="66" t="s">
        <v>133</v>
      </c>
      <c r="C18" s="23" t="s">
        <v>93</v>
      </c>
      <c r="D18" s="24">
        <v>30</v>
      </c>
      <c r="E18" s="24">
        <v>5</v>
      </c>
      <c r="F18" s="25">
        <f t="shared" ref="F18:F23" si="0">E18*D18/100</f>
        <v>1.5</v>
      </c>
      <c r="G18" s="24">
        <v>4</v>
      </c>
      <c r="H18" s="25">
        <f t="shared" ref="H18:H23" si="1">G18*D18/100</f>
        <v>1.2</v>
      </c>
      <c r="I18" s="24">
        <v>3</v>
      </c>
      <c r="J18" s="25">
        <f t="shared" ref="J18:J23" si="2">I18*D18/100</f>
        <v>0.9</v>
      </c>
    </row>
    <row r="19" spans="2:10" ht="22.15" customHeight="1" x14ac:dyDescent="0.45">
      <c r="B19" s="67"/>
      <c r="C19" s="23" t="s">
        <v>100</v>
      </c>
      <c r="D19" s="24">
        <v>25</v>
      </c>
      <c r="E19" s="24">
        <v>5</v>
      </c>
      <c r="F19" s="25">
        <f t="shared" si="0"/>
        <v>1.25</v>
      </c>
      <c r="G19" s="24">
        <v>4</v>
      </c>
      <c r="H19" s="25">
        <f t="shared" si="1"/>
        <v>1</v>
      </c>
      <c r="I19" s="24">
        <v>3</v>
      </c>
      <c r="J19" s="25">
        <f t="shared" si="2"/>
        <v>0.75</v>
      </c>
    </row>
    <row r="20" spans="2:10" ht="22.15" customHeight="1" x14ac:dyDescent="0.45">
      <c r="B20" s="67"/>
      <c r="C20" s="23" t="s">
        <v>103</v>
      </c>
      <c r="D20" s="24">
        <v>20</v>
      </c>
      <c r="E20" s="24">
        <v>5</v>
      </c>
      <c r="F20" s="25">
        <f t="shared" si="0"/>
        <v>1</v>
      </c>
      <c r="G20" s="24">
        <v>5</v>
      </c>
      <c r="H20" s="25">
        <f t="shared" si="1"/>
        <v>1</v>
      </c>
      <c r="I20" s="24">
        <v>4</v>
      </c>
      <c r="J20" s="25">
        <f t="shared" si="2"/>
        <v>0.8</v>
      </c>
    </row>
    <row r="21" spans="2:10" ht="22.15" customHeight="1" x14ac:dyDescent="0.45">
      <c r="B21" s="67"/>
      <c r="C21" s="23" t="s">
        <v>109</v>
      </c>
      <c r="D21" s="24">
        <v>10</v>
      </c>
      <c r="E21" s="24">
        <v>5</v>
      </c>
      <c r="F21" s="25">
        <f>E21*D21/100</f>
        <v>0.5</v>
      </c>
      <c r="G21" s="24">
        <v>4</v>
      </c>
      <c r="H21" s="25">
        <f t="shared" si="1"/>
        <v>0.4</v>
      </c>
      <c r="I21" s="24">
        <v>3</v>
      </c>
      <c r="J21" s="25">
        <f t="shared" si="2"/>
        <v>0.3</v>
      </c>
    </row>
    <row r="22" spans="2:10" ht="22.15" customHeight="1" x14ac:dyDescent="0.45">
      <c r="B22" s="67"/>
      <c r="C22" s="23" t="s">
        <v>116</v>
      </c>
      <c r="D22" s="24">
        <v>10</v>
      </c>
      <c r="E22" s="24">
        <v>5</v>
      </c>
      <c r="F22" s="25">
        <f t="shared" si="0"/>
        <v>0.5</v>
      </c>
      <c r="G22" s="24">
        <v>5</v>
      </c>
      <c r="H22" s="25">
        <f t="shared" si="1"/>
        <v>0.5</v>
      </c>
      <c r="I22" s="24">
        <v>4</v>
      </c>
      <c r="J22" s="25">
        <f t="shared" si="2"/>
        <v>0.4</v>
      </c>
    </row>
    <row r="23" spans="2:10" ht="22.15" customHeight="1" x14ac:dyDescent="0.45">
      <c r="B23" s="68"/>
      <c r="C23" s="23" t="s">
        <v>123</v>
      </c>
      <c r="D23" s="24">
        <v>5</v>
      </c>
      <c r="E23" s="24">
        <v>5</v>
      </c>
      <c r="F23" s="25">
        <f t="shared" si="0"/>
        <v>0.25</v>
      </c>
      <c r="G23" s="24">
        <v>5</v>
      </c>
      <c r="H23" s="25">
        <f t="shared" si="1"/>
        <v>0.25</v>
      </c>
      <c r="I23" s="24">
        <v>5</v>
      </c>
      <c r="J23" s="25">
        <f t="shared" si="2"/>
        <v>0.25</v>
      </c>
    </row>
    <row r="24" spans="2:10" ht="18" customHeight="1" x14ac:dyDescent="0.45">
      <c r="B24" s="56" t="s">
        <v>134</v>
      </c>
      <c r="C24" s="57"/>
      <c r="D24" s="58"/>
      <c r="E24" s="26"/>
      <c r="F24" s="26">
        <f>SUM(F18:F23)</f>
        <v>5</v>
      </c>
      <c r="G24" s="26"/>
      <c r="H24" s="26">
        <f>SUM(H18:H23)</f>
        <v>4.3499999999999996</v>
      </c>
      <c r="I24" s="26"/>
      <c r="J24" s="26">
        <f>SUM(J18:J23)</f>
        <v>3.4</v>
      </c>
    </row>
    <row r="25" spans="2:10" ht="22.15" customHeight="1" x14ac:dyDescent="0.45">
      <c r="B25" s="66" t="s">
        <v>135</v>
      </c>
      <c r="C25" s="23" t="s">
        <v>93</v>
      </c>
      <c r="D25" s="24">
        <v>30</v>
      </c>
      <c r="E25" s="24">
        <v>5</v>
      </c>
      <c r="F25" s="25">
        <f t="shared" ref="F25:F30" si="3">E25*D25/100</f>
        <v>1.5</v>
      </c>
      <c r="G25" s="24">
        <v>4</v>
      </c>
      <c r="H25" s="25">
        <f t="shared" ref="H25:H30" si="4">G25*D25/100</f>
        <v>1.2</v>
      </c>
      <c r="I25" s="24">
        <v>3</v>
      </c>
      <c r="J25" s="25">
        <f t="shared" ref="J25:J30" si="5">I25*D25/100</f>
        <v>0.9</v>
      </c>
    </row>
    <row r="26" spans="2:10" ht="22.15" customHeight="1" x14ac:dyDescent="0.45">
      <c r="B26" s="67"/>
      <c r="C26" s="23" t="s">
        <v>100</v>
      </c>
      <c r="D26" s="24">
        <v>25</v>
      </c>
      <c r="E26" s="24">
        <v>5</v>
      </c>
      <c r="F26" s="25">
        <f t="shared" si="3"/>
        <v>1.25</v>
      </c>
      <c r="G26" s="24">
        <v>4</v>
      </c>
      <c r="H26" s="25">
        <f t="shared" si="4"/>
        <v>1</v>
      </c>
      <c r="I26" s="24">
        <v>3</v>
      </c>
      <c r="J26" s="25">
        <f t="shared" si="5"/>
        <v>0.75</v>
      </c>
    </row>
    <row r="27" spans="2:10" ht="22.15" customHeight="1" x14ac:dyDescent="0.45">
      <c r="B27" s="67"/>
      <c r="C27" s="23" t="s">
        <v>103</v>
      </c>
      <c r="D27" s="24">
        <v>20</v>
      </c>
      <c r="E27" s="24">
        <v>5</v>
      </c>
      <c r="F27" s="25">
        <f t="shared" si="3"/>
        <v>1</v>
      </c>
      <c r="G27" s="24">
        <v>5</v>
      </c>
      <c r="H27" s="25">
        <f t="shared" si="4"/>
        <v>1</v>
      </c>
      <c r="I27" s="24">
        <v>4</v>
      </c>
      <c r="J27" s="25">
        <f t="shared" si="5"/>
        <v>0.8</v>
      </c>
    </row>
    <row r="28" spans="2:10" ht="22.15" customHeight="1" x14ac:dyDescent="0.45">
      <c r="B28" s="67"/>
      <c r="C28" s="23" t="s">
        <v>109</v>
      </c>
      <c r="D28" s="24">
        <v>10</v>
      </c>
      <c r="E28" s="24">
        <v>5</v>
      </c>
      <c r="F28" s="25">
        <f t="shared" si="3"/>
        <v>0.5</v>
      </c>
      <c r="G28" s="24">
        <v>4</v>
      </c>
      <c r="H28" s="25">
        <f t="shared" si="4"/>
        <v>0.4</v>
      </c>
      <c r="I28" s="24">
        <v>3</v>
      </c>
      <c r="J28" s="25">
        <f t="shared" si="5"/>
        <v>0.3</v>
      </c>
    </row>
    <row r="29" spans="2:10" ht="22.15" customHeight="1" x14ac:dyDescent="0.45">
      <c r="B29" s="67"/>
      <c r="C29" s="23" t="s">
        <v>116</v>
      </c>
      <c r="D29" s="24">
        <v>10</v>
      </c>
      <c r="E29" s="24">
        <v>5</v>
      </c>
      <c r="F29" s="25">
        <f t="shared" si="3"/>
        <v>0.5</v>
      </c>
      <c r="G29" s="24">
        <v>5</v>
      </c>
      <c r="H29" s="25">
        <f t="shared" si="4"/>
        <v>0.5</v>
      </c>
      <c r="I29" s="24">
        <v>4</v>
      </c>
      <c r="J29" s="25">
        <f t="shared" si="5"/>
        <v>0.4</v>
      </c>
    </row>
    <row r="30" spans="2:10" ht="22.15" customHeight="1" x14ac:dyDescent="0.45">
      <c r="B30" s="68"/>
      <c r="C30" s="23" t="s">
        <v>123</v>
      </c>
      <c r="D30" s="24">
        <v>5</v>
      </c>
      <c r="E30" s="24">
        <v>5</v>
      </c>
      <c r="F30" s="25">
        <f t="shared" si="3"/>
        <v>0.25</v>
      </c>
      <c r="G30" s="24">
        <v>5</v>
      </c>
      <c r="H30" s="25">
        <f t="shared" si="4"/>
        <v>0.25</v>
      </c>
      <c r="I30" s="24">
        <v>5</v>
      </c>
      <c r="J30" s="25">
        <f t="shared" si="5"/>
        <v>0.25</v>
      </c>
    </row>
    <row r="31" spans="2:10" ht="18" customHeight="1" x14ac:dyDescent="0.45">
      <c r="B31" s="56" t="s">
        <v>136</v>
      </c>
      <c r="C31" s="57"/>
      <c r="D31" s="58"/>
      <c r="E31" s="26"/>
      <c r="F31" s="26">
        <f>SUM(F25:F30)</f>
        <v>5</v>
      </c>
      <c r="G31" s="26"/>
      <c r="H31" s="26">
        <f>SUM(H25:H30)</f>
        <v>4.3499999999999996</v>
      </c>
      <c r="I31" s="26"/>
      <c r="J31" s="26">
        <f>SUM(J25:J30)</f>
        <v>3.4</v>
      </c>
    </row>
    <row r="32" spans="2:10" ht="22.15" customHeight="1" x14ac:dyDescent="0.45">
      <c r="B32" s="66" t="s">
        <v>137</v>
      </c>
      <c r="C32" s="23" t="s">
        <v>93</v>
      </c>
      <c r="D32" s="24">
        <v>30</v>
      </c>
      <c r="E32" s="24">
        <v>5</v>
      </c>
      <c r="F32" s="25">
        <f t="shared" ref="F32:F37" si="6">E32*D32/100</f>
        <v>1.5</v>
      </c>
      <c r="G32" s="24">
        <v>4</v>
      </c>
      <c r="H32" s="25">
        <f t="shared" ref="H32:H37" si="7">G32*D32/100</f>
        <v>1.2</v>
      </c>
      <c r="I32" s="24">
        <v>4</v>
      </c>
      <c r="J32" s="25">
        <f t="shared" ref="J32:J37" si="8">I32*D32/100</f>
        <v>1.2</v>
      </c>
    </row>
    <row r="33" spans="2:10" ht="22.15" customHeight="1" x14ac:dyDescent="0.45">
      <c r="B33" s="67"/>
      <c r="C33" s="23" t="s">
        <v>100</v>
      </c>
      <c r="D33" s="24">
        <v>25</v>
      </c>
      <c r="E33" s="24">
        <v>5</v>
      </c>
      <c r="F33" s="25">
        <f t="shared" si="6"/>
        <v>1.25</v>
      </c>
      <c r="G33" s="24">
        <v>4</v>
      </c>
      <c r="H33" s="25">
        <f t="shared" si="7"/>
        <v>1</v>
      </c>
      <c r="I33" s="24">
        <v>3</v>
      </c>
      <c r="J33" s="25">
        <f t="shared" si="8"/>
        <v>0.75</v>
      </c>
    </row>
    <row r="34" spans="2:10" ht="22.15" customHeight="1" x14ac:dyDescent="0.45">
      <c r="B34" s="67"/>
      <c r="C34" s="23" t="s">
        <v>103</v>
      </c>
      <c r="D34" s="24">
        <v>20</v>
      </c>
      <c r="E34" s="24">
        <v>5</v>
      </c>
      <c r="F34" s="25">
        <f t="shared" si="6"/>
        <v>1</v>
      </c>
      <c r="G34" s="24">
        <v>5</v>
      </c>
      <c r="H34" s="25">
        <f t="shared" si="7"/>
        <v>1</v>
      </c>
      <c r="I34" s="24">
        <v>4</v>
      </c>
      <c r="J34" s="25">
        <f t="shared" si="8"/>
        <v>0.8</v>
      </c>
    </row>
    <row r="35" spans="2:10" ht="22.15" customHeight="1" x14ac:dyDescent="0.45">
      <c r="B35" s="67"/>
      <c r="C35" s="23" t="s">
        <v>109</v>
      </c>
      <c r="D35" s="24">
        <v>10</v>
      </c>
      <c r="E35" s="24">
        <v>5</v>
      </c>
      <c r="F35" s="25">
        <f t="shared" si="6"/>
        <v>0.5</v>
      </c>
      <c r="G35" s="24">
        <v>4</v>
      </c>
      <c r="H35" s="25">
        <f t="shared" si="7"/>
        <v>0.4</v>
      </c>
      <c r="I35" s="24">
        <v>3</v>
      </c>
      <c r="J35" s="25">
        <f t="shared" si="8"/>
        <v>0.3</v>
      </c>
    </row>
    <row r="36" spans="2:10" ht="22.15" customHeight="1" x14ac:dyDescent="0.45">
      <c r="B36" s="67"/>
      <c r="C36" s="23" t="s">
        <v>116</v>
      </c>
      <c r="D36" s="24">
        <v>10</v>
      </c>
      <c r="E36" s="24">
        <v>5</v>
      </c>
      <c r="F36" s="25">
        <f t="shared" si="6"/>
        <v>0.5</v>
      </c>
      <c r="G36" s="24">
        <v>5</v>
      </c>
      <c r="H36" s="25">
        <f t="shared" si="7"/>
        <v>0.5</v>
      </c>
      <c r="I36" s="24">
        <v>4</v>
      </c>
      <c r="J36" s="25">
        <f t="shared" si="8"/>
        <v>0.4</v>
      </c>
    </row>
    <row r="37" spans="2:10" ht="22.15" customHeight="1" x14ac:dyDescent="0.45">
      <c r="B37" s="68"/>
      <c r="C37" s="23" t="s">
        <v>123</v>
      </c>
      <c r="D37" s="24">
        <v>5</v>
      </c>
      <c r="E37" s="24">
        <v>5</v>
      </c>
      <c r="F37" s="25">
        <f t="shared" si="6"/>
        <v>0.25</v>
      </c>
      <c r="G37" s="24">
        <v>5</v>
      </c>
      <c r="H37" s="25">
        <f t="shared" si="7"/>
        <v>0.25</v>
      </c>
      <c r="I37" s="24">
        <v>5</v>
      </c>
      <c r="J37" s="25">
        <f t="shared" si="8"/>
        <v>0.25</v>
      </c>
    </row>
    <row r="38" spans="2:10" ht="18" customHeight="1" x14ac:dyDescent="0.45">
      <c r="B38" s="56" t="s">
        <v>138</v>
      </c>
      <c r="C38" s="57"/>
      <c r="D38" s="58"/>
      <c r="E38" s="26"/>
      <c r="F38" s="26">
        <f>SUM(F32:F37)</f>
        <v>5</v>
      </c>
      <c r="G38" s="26"/>
      <c r="H38" s="26">
        <f>SUM(H32:H37)</f>
        <v>4.3499999999999996</v>
      </c>
      <c r="I38" s="26"/>
      <c r="J38" s="26">
        <f>SUM(J32:J37)</f>
        <v>3.6999999999999997</v>
      </c>
    </row>
    <row r="39" spans="2:10" ht="22.15" customHeight="1" x14ac:dyDescent="0.45">
      <c r="B39" s="66" t="s">
        <v>139</v>
      </c>
      <c r="C39" s="23" t="s">
        <v>93</v>
      </c>
      <c r="D39" s="24">
        <v>30</v>
      </c>
      <c r="E39" s="24">
        <v>5</v>
      </c>
      <c r="F39" s="25">
        <f t="shared" ref="F39:F44" si="9">E39*D39/100</f>
        <v>1.5</v>
      </c>
      <c r="G39" s="24">
        <v>3</v>
      </c>
      <c r="H39" s="25">
        <f t="shared" ref="H39:H44" si="10">G39*D39/100</f>
        <v>0.9</v>
      </c>
      <c r="I39" s="24">
        <v>3</v>
      </c>
      <c r="J39" s="25">
        <f t="shared" ref="J39:J44" si="11">I39*D39/100</f>
        <v>0.9</v>
      </c>
    </row>
    <row r="40" spans="2:10" ht="22.15" customHeight="1" x14ac:dyDescent="0.45">
      <c r="B40" s="67"/>
      <c r="C40" s="23" t="s">
        <v>100</v>
      </c>
      <c r="D40" s="24">
        <v>25</v>
      </c>
      <c r="E40" s="24">
        <v>5</v>
      </c>
      <c r="F40" s="25">
        <f t="shared" si="9"/>
        <v>1.25</v>
      </c>
      <c r="G40" s="24">
        <v>2</v>
      </c>
      <c r="H40" s="25">
        <f t="shared" si="10"/>
        <v>0.5</v>
      </c>
      <c r="I40" s="24">
        <v>3</v>
      </c>
      <c r="J40" s="25">
        <f t="shared" si="11"/>
        <v>0.75</v>
      </c>
    </row>
    <row r="41" spans="2:10" ht="22.15" customHeight="1" x14ac:dyDescent="0.45">
      <c r="B41" s="67"/>
      <c r="C41" s="23" t="s">
        <v>103</v>
      </c>
      <c r="D41" s="24">
        <v>20</v>
      </c>
      <c r="E41" s="24">
        <v>5</v>
      </c>
      <c r="F41" s="25">
        <f t="shared" si="9"/>
        <v>1</v>
      </c>
      <c r="G41" s="24">
        <v>4</v>
      </c>
      <c r="H41" s="25">
        <f t="shared" si="10"/>
        <v>0.8</v>
      </c>
      <c r="I41" s="24">
        <v>4</v>
      </c>
      <c r="J41" s="25">
        <f t="shared" si="11"/>
        <v>0.8</v>
      </c>
    </row>
    <row r="42" spans="2:10" ht="22.15" customHeight="1" x14ac:dyDescent="0.45">
      <c r="B42" s="67"/>
      <c r="C42" s="23" t="s">
        <v>109</v>
      </c>
      <c r="D42" s="24">
        <v>10</v>
      </c>
      <c r="E42" s="24">
        <v>5</v>
      </c>
      <c r="F42" s="25">
        <f t="shared" si="9"/>
        <v>0.5</v>
      </c>
      <c r="G42" s="24">
        <v>4</v>
      </c>
      <c r="H42" s="25">
        <f t="shared" si="10"/>
        <v>0.4</v>
      </c>
      <c r="I42" s="24">
        <v>3</v>
      </c>
      <c r="J42" s="25">
        <f t="shared" si="11"/>
        <v>0.3</v>
      </c>
    </row>
    <row r="43" spans="2:10" ht="22.15" customHeight="1" x14ac:dyDescent="0.45">
      <c r="B43" s="67"/>
      <c r="C43" s="23" t="s">
        <v>116</v>
      </c>
      <c r="D43" s="24">
        <v>10</v>
      </c>
      <c r="E43" s="24">
        <v>5</v>
      </c>
      <c r="F43" s="25">
        <f t="shared" si="9"/>
        <v>0.5</v>
      </c>
      <c r="G43" s="24">
        <v>3</v>
      </c>
      <c r="H43" s="25">
        <f t="shared" si="10"/>
        <v>0.3</v>
      </c>
      <c r="I43" s="24">
        <v>3</v>
      </c>
      <c r="J43" s="25">
        <f t="shared" si="11"/>
        <v>0.3</v>
      </c>
    </row>
    <row r="44" spans="2:10" ht="22.15" customHeight="1" x14ac:dyDescent="0.45">
      <c r="B44" s="68"/>
      <c r="C44" s="23" t="s">
        <v>123</v>
      </c>
      <c r="D44" s="24">
        <v>5</v>
      </c>
      <c r="E44" s="24">
        <v>5</v>
      </c>
      <c r="F44" s="25">
        <f t="shared" si="9"/>
        <v>0.25</v>
      </c>
      <c r="G44" s="24">
        <v>5</v>
      </c>
      <c r="H44" s="25">
        <f t="shared" si="10"/>
        <v>0.25</v>
      </c>
      <c r="I44" s="24">
        <v>5</v>
      </c>
      <c r="J44" s="25">
        <f t="shared" si="11"/>
        <v>0.25</v>
      </c>
    </row>
    <row r="45" spans="2:10" ht="18" customHeight="1" x14ac:dyDescent="0.45">
      <c r="B45" s="56" t="s">
        <v>140</v>
      </c>
      <c r="C45" s="57"/>
      <c r="D45" s="58"/>
      <c r="E45" s="26"/>
      <c r="F45" s="26">
        <f>SUM(F39:F44)</f>
        <v>5</v>
      </c>
      <c r="G45" s="26"/>
      <c r="H45" s="26">
        <f>SUM(H39:H44)</f>
        <v>3.15</v>
      </c>
      <c r="I45" s="26"/>
      <c r="J45" s="26">
        <f>SUM(J39:J44)</f>
        <v>3.3</v>
      </c>
    </row>
    <row r="46" spans="2:10" ht="22.15" customHeight="1" x14ac:dyDescent="0.45">
      <c r="B46" s="66" t="s">
        <v>141</v>
      </c>
      <c r="C46" s="23" t="s">
        <v>93</v>
      </c>
      <c r="D46" s="24">
        <v>30</v>
      </c>
      <c r="E46" s="24">
        <v>3</v>
      </c>
      <c r="F46" s="25">
        <f t="shared" ref="F46:F51" si="12">E46*D46/100</f>
        <v>0.9</v>
      </c>
      <c r="G46" s="24">
        <v>4</v>
      </c>
      <c r="H46" s="25">
        <f t="shared" ref="H46:H51" si="13">G46*D46/100</f>
        <v>1.2</v>
      </c>
      <c r="I46" s="24">
        <v>4</v>
      </c>
      <c r="J46" s="25">
        <f t="shared" ref="J46:J51" si="14">I46*D46/100</f>
        <v>1.2</v>
      </c>
    </row>
    <row r="47" spans="2:10" ht="22.15" customHeight="1" x14ac:dyDescent="0.45">
      <c r="B47" s="67"/>
      <c r="C47" s="23" t="s">
        <v>100</v>
      </c>
      <c r="D47" s="24">
        <v>25</v>
      </c>
      <c r="E47" s="24">
        <v>3</v>
      </c>
      <c r="F47" s="25">
        <f t="shared" si="12"/>
        <v>0.75</v>
      </c>
      <c r="G47" s="24">
        <v>3</v>
      </c>
      <c r="H47" s="25">
        <f t="shared" si="13"/>
        <v>0.75</v>
      </c>
      <c r="I47" s="24">
        <v>3</v>
      </c>
      <c r="J47" s="25">
        <f t="shared" si="14"/>
        <v>0.75</v>
      </c>
    </row>
    <row r="48" spans="2:10" ht="22.15" customHeight="1" x14ac:dyDescent="0.45">
      <c r="B48" s="67"/>
      <c r="C48" s="23" t="s">
        <v>103</v>
      </c>
      <c r="D48" s="24">
        <v>20</v>
      </c>
      <c r="E48" s="24">
        <v>2</v>
      </c>
      <c r="F48" s="25">
        <f t="shared" si="12"/>
        <v>0.4</v>
      </c>
      <c r="G48" s="24">
        <v>4</v>
      </c>
      <c r="H48" s="25">
        <f t="shared" si="13"/>
        <v>0.8</v>
      </c>
      <c r="I48" s="24">
        <v>4</v>
      </c>
      <c r="J48" s="25">
        <f t="shared" si="14"/>
        <v>0.8</v>
      </c>
    </row>
    <row r="49" spans="2:10" ht="22.15" customHeight="1" x14ac:dyDescent="0.45">
      <c r="B49" s="67"/>
      <c r="C49" s="23" t="s">
        <v>109</v>
      </c>
      <c r="D49" s="24">
        <v>10</v>
      </c>
      <c r="E49" s="24">
        <v>3</v>
      </c>
      <c r="F49" s="25">
        <f t="shared" si="12"/>
        <v>0.3</v>
      </c>
      <c r="G49" s="24">
        <v>4</v>
      </c>
      <c r="H49" s="25">
        <f t="shared" si="13"/>
        <v>0.4</v>
      </c>
      <c r="I49" s="24">
        <v>3</v>
      </c>
      <c r="J49" s="25">
        <f t="shared" si="14"/>
        <v>0.3</v>
      </c>
    </row>
    <row r="50" spans="2:10" ht="22.15" customHeight="1" x14ac:dyDescent="0.45">
      <c r="B50" s="67"/>
      <c r="C50" s="23" t="s">
        <v>116</v>
      </c>
      <c r="D50" s="24">
        <v>10</v>
      </c>
      <c r="E50" s="24">
        <v>3</v>
      </c>
      <c r="F50" s="25">
        <f t="shared" si="12"/>
        <v>0.3</v>
      </c>
      <c r="G50" s="24">
        <v>5</v>
      </c>
      <c r="H50" s="25">
        <f t="shared" si="13"/>
        <v>0.5</v>
      </c>
      <c r="I50" s="24">
        <v>4</v>
      </c>
      <c r="J50" s="25">
        <f t="shared" si="14"/>
        <v>0.4</v>
      </c>
    </row>
    <row r="51" spans="2:10" ht="22.15" customHeight="1" x14ac:dyDescent="0.45">
      <c r="B51" s="68"/>
      <c r="C51" s="23" t="s">
        <v>123</v>
      </c>
      <c r="D51" s="24">
        <v>5</v>
      </c>
      <c r="E51" s="24">
        <v>5</v>
      </c>
      <c r="F51" s="25">
        <f t="shared" si="12"/>
        <v>0.25</v>
      </c>
      <c r="G51" s="24">
        <v>5</v>
      </c>
      <c r="H51" s="25">
        <f t="shared" si="13"/>
        <v>0.25</v>
      </c>
      <c r="I51" s="24">
        <v>5</v>
      </c>
      <c r="J51" s="25">
        <f t="shared" si="14"/>
        <v>0.25</v>
      </c>
    </row>
    <row r="52" spans="2:10" ht="18" customHeight="1" x14ac:dyDescent="0.45">
      <c r="B52" s="56" t="s">
        <v>142</v>
      </c>
      <c r="C52" s="57"/>
      <c r="D52" s="58"/>
      <c r="E52" s="26"/>
      <c r="F52" s="26">
        <f>SUM(F46:F51)</f>
        <v>2.8999999999999995</v>
      </c>
      <c r="G52" s="26"/>
      <c r="H52" s="26">
        <f>SUM(H46:H51)</f>
        <v>3.9</v>
      </c>
      <c r="I52" s="26"/>
      <c r="J52" s="26">
        <f>SUM(J46:J51)</f>
        <v>3.6999999999999997</v>
      </c>
    </row>
    <row r="53" spans="2:10" ht="22.15" customHeight="1" x14ac:dyDescent="0.45">
      <c r="B53" s="62" t="s">
        <v>143</v>
      </c>
      <c r="C53" s="23" t="s">
        <v>93</v>
      </c>
      <c r="D53" s="24">
        <v>30</v>
      </c>
      <c r="E53" s="24">
        <v>5</v>
      </c>
      <c r="F53" s="25">
        <f t="shared" ref="F53:F58" si="15">E53*D53/100</f>
        <v>1.5</v>
      </c>
      <c r="G53" s="24">
        <v>4</v>
      </c>
      <c r="H53" s="25">
        <f t="shared" ref="H53:H58" si="16">G53*D53/100</f>
        <v>1.2</v>
      </c>
      <c r="I53" s="24">
        <v>4</v>
      </c>
      <c r="J53" s="25">
        <f t="shared" ref="J53:J58" si="17">I53*D53/100</f>
        <v>1.2</v>
      </c>
    </row>
    <row r="54" spans="2:10" ht="22.15" customHeight="1" x14ac:dyDescent="0.45">
      <c r="B54" s="63"/>
      <c r="C54" s="23" t="s">
        <v>100</v>
      </c>
      <c r="D54" s="24">
        <v>25</v>
      </c>
      <c r="E54" s="24">
        <v>5</v>
      </c>
      <c r="F54" s="25">
        <f t="shared" si="15"/>
        <v>1.25</v>
      </c>
      <c r="G54" s="24">
        <v>4</v>
      </c>
      <c r="H54" s="25">
        <f t="shared" si="16"/>
        <v>1</v>
      </c>
      <c r="I54" s="24">
        <v>3</v>
      </c>
      <c r="J54" s="25">
        <f t="shared" si="17"/>
        <v>0.75</v>
      </c>
    </row>
    <row r="55" spans="2:10" ht="22.15" customHeight="1" x14ac:dyDescent="0.45">
      <c r="B55" s="63"/>
      <c r="C55" s="23" t="s">
        <v>103</v>
      </c>
      <c r="D55" s="24">
        <v>20</v>
      </c>
      <c r="E55" s="24">
        <v>5</v>
      </c>
      <c r="F55" s="25">
        <f t="shared" si="15"/>
        <v>1</v>
      </c>
      <c r="G55" s="24">
        <v>5</v>
      </c>
      <c r="H55" s="25">
        <f t="shared" si="16"/>
        <v>1</v>
      </c>
      <c r="I55" s="24">
        <v>4</v>
      </c>
      <c r="J55" s="25">
        <f t="shared" si="17"/>
        <v>0.8</v>
      </c>
    </row>
    <row r="56" spans="2:10" ht="22.15" customHeight="1" x14ac:dyDescent="0.45">
      <c r="B56" s="63"/>
      <c r="C56" s="23" t="s">
        <v>109</v>
      </c>
      <c r="D56" s="24">
        <v>10</v>
      </c>
      <c r="E56" s="24">
        <v>5</v>
      </c>
      <c r="F56" s="25">
        <f t="shared" si="15"/>
        <v>0.5</v>
      </c>
      <c r="G56" s="24">
        <v>4</v>
      </c>
      <c r="H56" s="25">
        <f t="shared" si="16"/>
        <v>0.4</v>
      </c>
      <c r="I56" s="24">
        <v>3</v>
      </c>
      <c r="J56" s="25">
        <f t="shared" si="17"/>
        <v>0.3</v>
      </c>
    </row>
    <row r="57" spans="2:10" ht="22.15" customHeight="1" x14ac:dyDescent="0.45">
      <c r="B57" s="63"/>
      <c r="C57" s="23" t="s">
        <v>116</v>
      </c>
      <c r="D57" s="24">
        <v>10</v>
      </c>
      <c r="E57" s="24">
        <v>5</v>
      </c>
      <c r="F57" s="25">
        <f t="shared" si="15"/>
        <v>0.5</v>
      </c>
      <c r="G57" s="24">
        <v>5</v>
      </c>
      <c r="H57" s="25">
        <f t="shared" si="16"/>
        <v>0.5</v>
      </c>
      <c r="I57" s="24">
        <v>4</v>
      </c>
      <c r="J57" s="25">
        <f t="shared" si="17"/>
        <v>0.4</v>
      </c>
    </row>
    <row r="58" spans="2:10" ht="22.15" customHeight="1" x14ac:dyDescent="0.45">
      <c r="B58" s="64"/>
      <c r="C58" s="23" t="s">
        <v>123</v>
      </c>
      <c r="D58" s="24">
        <v>5</v>
      </c>
      <c r="E58" s="24">
        <v>5</v>
      </c>
      <c r="F58" s="25">
        <f t="shared" si="15"/>
        <v>0.25</v>
      </c>
      <c r="G58" s="24">
        <v>5</v>
      </c>
      <c r="H58" s="25">
        <f t="shared" si="16"/>
        <v>0.25</v>
      </c>
      <c r="I58" s="24">
        <v>5</v>
      </c>
      <c r="J58" s="25">
        <f t="shared" si="17"/>
        <v>0.25</v>
      </c>
    </row>
    <row r="59" spans="2:10" ht="18" customHeight="1" x14ac:dyDescent="0.45">
      <c r="B59" s="52" t="s">
        <v>144</v>
      </c>
      <c r="C59" s="61"/>
      <c r="D59" s="53"/>
      <c r="E59" s="26"/>
      <c r="F59" s="26">
        <f>SUM(F53:F58)</f>
        <v>5</v>
      </c>
      <c r="G59" s="26"/>
      <c r="H59" s="26">
        <f>SUM(H53:H58)</f>
        <v>4.3499999999999996</v>
      </c>
      <c r="I59" s="26"/>
      <c r="J59" s="26">
        <f>SUM(J53:J58)</f>
        <v>3.6999999999999997</v>
      </c>
    </row>
    <row r="61" spans="2:10" ht="24.75" customHeight="1" outlineLevel="1" x14ac:dyDescent="0.45">
      <c r="E61" s="52" t="s">
        <v>3</v>
      </c>
      <c r="F61" s="53"/>
      <c r="G61" s="52" t="s">
        <v>4</v>
      </c>
      <c r="H61" s="53"/>
      <c r="I61" s="52" t="s">
        <v>5</v>
      </c>
      <c r="J61" s="53"/>
    </row>
    <row r="62" spans="2:10" ht="22.15" customHeight="1" outlineLevel="1" x14ac:dyDescent="0.45">
      <c r="B62" s="52" t="s">
        <v>163</v>
      </c>
      <c r="C62" s="61"/>
      <c r="D62" s="53"/>
      <c r="E62" s="54">
        <f>AVERAGE(F59,F52,F31,F45,F38,F24)</f>
        <v>4.6499999999999995</v>
      </c>
      <c r="F62" s="55"/>
      <c r="G62" s="54">
        <f>AVERAGE(H59,H52,H45,H38,H24)</f>
        <v>4.0200000000000005</v>
      </c>
      <c r="H62" s="55"/>
      <c r="I62" s="54">
        <f>AVERAGE(J59,J52,J45,J38,J24)</f>
        <v>3.5599999999999996</v>
      </c>
      <c r="J62" s="55"/>
    </row>
    <row r="63" spans="2:10" outlineLevel="1" x14ac:dyDescent="0.45"/>
  </sheetData>
  <mergeCells count="28">
    <mergeCell ref="B2:J2"/>
    <mergeCell ref="B46:B51"/>
    <mergeCell ref="C16:C17"/>
    <mergeCell ref="E16:F16"/>
    <mergeCell ref="B31:D31"/>
    <mergeCell ref="G16:H16"/>
    <mergeCell ref="B4:I4"/>
    <mergeCell ref="B18:B23"/>
    <mergeCell ref="I16:J16"/>
    <mergeCell ref="B39:B44"/>
    <mergeCell ref="D16:D17"/>
    <mergeCell ref="B24:D24"/>
    <mergeCell ref="B15:J15"/>
    <mergeCell ref="B32:B37"/>
    <mergeCell ref="B25:B30"/>
    <mergeCell ref="B52:D52"/>
    <mergeCell ref="B16:B17"/>
    <mergeCell ref="B38:D38"/>
    <mergeCell ref="B62:D62"/>
    <mergeCell ref="B45:D45"/>
    <mergeCell ref="B53:B58"/>
    <mergeCell ref="B59:D59"/>
    <mergeCell ref="E61:F61"/>
    <mergeCell ref="E62:F62"/>
    <mergeCell ref="G61:H61"/>
    <mergeCell ref="I61:J61"/>
    <mergeCell ref="G62:H62"/>
    <mergeCell ref="I62:J6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D4C8-85CE-4004-A0C5-458914CDB073}">
  <dimension ref="B1:E136"/>
  <sheetViews>
    <sheetView showGridLines="0" zoomScale="90" zoomScaleNormal="90" workbookViewId="0">
      <selection activeCell="K148" sqref="K148"/>
    </sheetView>
  </sheetViews>
  <sheetFormatPr defaultRowHeight="13.5" x14ac:dyDescent="0.35"/>
  <cols>
    <col min="1" max="1" width="9.06640625" style="2"/>
    <col min="2" max="2" width="44.46484375" style="2" customWidth="1"/>
    <col min="3" max="16384" width="9.06640625" style="2"/>
  </cols>
  <sheetData>
    <row r="1" spans="2:5" ht="17.649999999999999" x14ac:dyDescent="0.5">
      <c r="B1" s="34" t="s">
        <v>164</v>
      </c>
    </row>
    <row r="3" spans="2:5" ht="13.9" x14ac:dyDescent="0.4">
      <c r="B3" s="35" t="s">
        <v>165</v>
      </c>
      <c r="C3" s="35" t="s">
        <v>3</v>
      </c>
      <c r="D3" s="35" t="s">
        <v>4</v>
      </c>
      <c r="E3" s="35" t="s">
        <v>5</v>
      </c>
    </row>
    <row r="4" spans="2:5" x14ac:dyDescent="0.35">
      <c r="B4" s="2" t="s">
        <v>166</v>
      </c>
      <c r="C4" s="2">
        <v>4.6500000000000004</v>
      </c>
      <c r="D4" s="2">
        <v>4.0199999999999996</v>
      </c>
      <c r="E4" s="2">
        <v>3.56</v>
      </c>
    </row>
    <row r="24" spans="2:5" ht="17.649999999999999" x14ac:dyDescent="0.5">
      <c r="B24" s="34" t="s">
        <v>167</v>
      </c>
    </row>
    <row r="26" spans="2:5" ht="13.9" x14ac:dyDescent="0.4">
      <c r="B26" s="35" t="s">
        <v>55</v>
      </c>
      <c r="C26" s="35" t="s">
        <v>3</v>
      </c>
      <c r="D26" s="35" t="s">
        <v>4</v>
      </c>
      <c r="E26" s="35" t="s">
        <v>5</v>
      </c>
    </row>
    <row r="27" spans="2:5" x14ac:dyDescent="0.35">
      <c r="B27" s="2" t="s">
        <v>177</v>
      </c>
      <c r="C27" s="2">
        <v>5</v>
      </c>
      <c r="D27" s="2">
        <v>4.3499999999999996</v>
      </c>
      <c r="E27" s="2">
        <v>3.4</v>
      </c>
    </row>
    <row r="28" spans="2:5" x14ac:dyDescent="0.35">
      <c r="B28" s="2" t="s">
        <v>178</v>
      </c>
      <c r="C28" s="2">
        <v>5</v>
      </c>
      <c r="D28" s="2">
        <v>4.3499999999999996</v>
      </c>
      <c r="E28" s="2">
        <v>3.4</v>
      </c>
    </row>
    <row r="29" spans="2:5" x14ac:dyDescent="0.35">
      <c r="B29" s="2" t="s">
        <v>179</v>
      </c>
      <c r="C29" s="2">
        <v>5</v>
      </c>
      <c r="D29" s="2">
        <v>4.3499999999999996</v>
      </c>
      <c r="E29" s="2">
        <v>3.7</v>
      </c>
    </row>
    <row r="30" spans="2:5" x14ac:dyDescent="0.35">
      <c r="B30" s="2" t="s">
        <v>180</v>
      </c>
      <c r="C30" s="2">
        <v>5</v>
      </c>
      <c r="D30" s="2">
        <v>3.15</v>
      </c>
      <c r="E30" s="2">
        <v>3.3</v>
      </c>
    </row>
    <row r="31" spans="2:5" x14ac:dyDescent="0.35">
      <c r="B31" s="2" t="s">
        <v>181</v>
      </c>
      <c r="C31" s="2">
        <v>2.9</v>
      </c>
      <c r="D31" s="2">
        <v>3.9</v>
      </c>
      <c r="E31" s="2">
        <v>3.7</v>
      </c>
    </row>
    <row r="32" spans="2:5" x14ac:dyDescent="0.35">
      <c r="B32" s="2" t="s">
        <v>182</v>
      </c>
      <c r="C32" s="2">
        <v>5</v>
      </c>
      <c r="D32" s="2">
        <v>4.3499999999999996</v>
      </c>
      <c r="E32" s="2">
        <v>3.7</v>
      </c>
    </row>
    <row r="52" spans="2:5" ht="17.649999999999999" x14ac:dyDescent="0.5">
      <c r="B52" s="34" t="s">
        <v>168</v>
      </c>
    </row>
    <row r="54" spans="2:5" ht="13.9" x14ac:dyDescent="0.4">
      <c r="B54" s="35" t="s">
        <v>169</v>
      </c>
      <c r="C54" s="35" t="s">
        <v>3</v>
      </c>
      <c r="D54" s="35" t="s">
        <v>4</v>
      </c>
      <c r="E54" s="35" t="s">
        <v>5</v>
      </c>
    </row>
    <row r="55" spans="2:5" x14ac:dyDescent="0.35">
      <c r="B55" s="2" t="s">
        <v>170</v>
      </c>
      <c r="C55" s="2">
        <v>2</v>
      </c>
      <c r="D55" s="2">
        <v>1</v>
      </c>
      <c r="E55" s="2">
        <v>1</v>
      </c>
    </row>
    <row r="56" spans="2:5" x14ac:dyDescent="0.35">
      <c r="B56" s="2" t="s">
        <v>171</v>
      </c>
      <c r="C56" s="2">
        <v>3</v>
      </c>
      <c r="D56" s="2">
        <v>0</v>
      </c>
      <c r="E56" s="2">
        <v>2</v>
      </c>
    </row>
    <row r="57" spans="2:5" x14ac:dyDescent="0.35">
      <c r="B57" s="2" t="s">
        <v>172</v>
      </c>
      <c r="C57" s="2">
        <v>3</v>
      </c>
      <c r="D57" s="2">
        <v>3</v>
      </c>
      <c r="E57" s="2">
        <v>0</v>
      </c>
    </row>
    <row r="77" spans="2:5" ht="17.649999999999999" x14ac:dyDescent="0.5">
      <c r="B77" s="34" t="s">
        <v>173</v>
      </c>
    </row>
    <row r="79" spans="2:5" ht="13.9" x14ac:dyDescent="0.4">
      <c r="B79" s="35" t="s">
        <v>85</v>
      </c>
      <c r="C79" s="35" t="s">
        <v>3</v>
      </c>
      <c r="D79" s="35" t="s">
        <v>4</v>
      </c>
      <c r="E79" s="35" t="s">
        <v>5</v>
      </c>
    </row>
    <row r="80" spans="2:5" x14ac:dyDescent="0.35">
      <c r="B80" s="2" t="s">
        <v>93</v>
      </c>
      <c r="C80" s="36">
        <f>AVERAGE('Score Evaluation'!E18,'Score Evaluation'!E25,'Score Evaluation'!E32,'Score Evaluation'!E39,'Score Evaluation'!E46,'Score Evaluation'!E53)</f>
        <v>4.666666666666667</v>
      </c>
      <c r="D80" s="36">
        <f>AVERAGE('Score Evaluation'!G18,'Score Evaluation'!G25,'Score Evaluation'!G32,'Score Evaluation'!G39,'Score Evaluation'!G46,'Score Evaluation'!G53)</f>
        <v>3.8333333333333335</v>
      </c>
      <c r="E80" s="36">
        <f>AVERAGE('Score Evaluation'!I18,'Score Evaluation'!I25,'Score Evaluation'!I32,'Score Evaluation'!I39,'Score Evaluation'!I46,'Score Evaluation'!I53)</f>
        <v>3.5</v>
      </c>
    </row>
    <row r="81" spans="2:5" x14ac:dyDescent="0.35">
      <c r="B81" s="2" t="s">
        <v>100</v>
      </c>
      <c r="C81" s="36">
        <f>AVERAGE('Score Evaluation'!E19,'Score Evaluation'!E26,'Score Evaluation'!E33,'Score Evaluation'!E40,'Score Evaluation'!E47,'Score Evaluation'!E54)</f>
        <v>4.666666666666667</v>
      </c>
      <c r="D81" s="36">
        <f>AVERAGE('Score Evaluation'!G19,'Score Evaluation'!G26,'Score Evaluation'!G33,'Score Evaluation'!G40,'Score Evaluation'!G47,'Score Evaluation'!G54)</f>
        <v>3.5</v>
      </c>
      <c r="E81" s="36">
        <f>AVERAGE('Score Evaluation'!I19,'Score Evaluation'!I26,'Score Evaluation'!I33,'Score Evaluation'!I40,'Score Evaluation'!I47,'Score Evaluation'!I54)</f>
        <v>3</v>
      </c>
    </row>
    <row r="82" spans="2:5" x14ac:dyDescent="0.35">
      <c r="B82" s="2" t="s">
        <v>103</v>
      </c>
      <c r="C82" s="36">
        <f>AVERAGE('Score Evaluation'!E20,'Score Evaluation'!E27,'Score Evaluation'!E34,'Score Evaluation'!E41,'Score Evaluation'!E48,'Score Evaluation'!E55)</f>
        <v>4.5</v>
      </c>
      <c r="D82" s="36">
        <f>AVERAGE('Score Evaluation'!G20,'Score Evaluation'!G27,'Score Evaluation'!G34,'Score Evaluation'!G41,'Score Evaluation'!G48,'Score Evaluation'!G55)</f>
        <v>4.666666666666667</v>
      </c>
      <c r="E82" s="36">
        <f>AVERAGE('Score Evaluation'!I20,'Score Evaluation'!I27,'Score Evaluation'!I34,'Score Evaluation'!I41,'Score Evaluation'!I48,'Score Evaluation'!I55)</f>
        <v>4</v>
      </c>
    </row>
    <row r="83" spans="2:5" x14ac:dyDescent="0.35">
      <c r="B83" s="2" t="s">
        <v>109</v>
      </c>
      <c r="C83" s="36">
        <f>AVERAGE('Score Evaluation'!E21,'Score Evaluation'!E28,'Score Evaluation'!E35,'Score Evaluation'!E42,'Score Evaluation'!E49,'Score Evaluation'!E56)</f>
        <v>4.666666666666667</v>
      </c>
      <c r="D83" s="36">
        <f>AVERAGE('Score Evaluation'!G21,'Score Evaluation'!G28,'Score Evaluation'!G35,'Score Evaluation'!G42,'Score Evaluation'!G49,'Score Evaluation'!G56)</f>
        <v>4</v>
      </c>
      <c r="E83" s="36">
        <f>AVERAGE('Score Evaluation'!I21,'Score Evaluation'!I28,'Score Evaluation'!I35,'Score Evaluation'!I42,'Score Evaluation'!I49,'Score Evaluation'!I56)</f>
        <v>3</v>
      </c>
    </row>
    <row r="84" spans="2:5" x14ac:dyDescent="0.35">
      <c r="B84" s="2" t="s">
        <v>116</v>
      </c>
      <c r="C84" s="36">
        <f>AVERAGE('Score Evaluation'!E22,'Score Evaluation'!E29,'Score Evaluation'!E36,'Score Evaluation'!E43,'Score Evaluation'!E50,'Score Evaluation'!E57)</f>
        <v>4.666666666666667</v>
      </c>
      <c r="D84" s="36">
        <f>AVERAGE('Score Evaluation'!G22,'Score Evaluation'!G29,'Score Evaluation'!G36,'Score Evaluation'!G43,'Score Evaluation'!G50,'Score Evaluation'!G57)</f>
        <v>4.666666666666667</v>
      </c>
      <c r="E84" s="36">
        <f>AVERAGE('Score Evaluation'!I22,'Score Evaluation'!I29,'Score Evaluation'!I36,'Score Evaluation'!I43,'Score Evaluation'!I50,'Score Evaluation'!I57)</f>
        <v>3.8333333333333335</v>
      </c>
    </row>
    <row r="85" spans="2:5" x14ac:dyDescent="0.35">
      <c r="B85" s="2" t="s">
        <v>123</v>
      </c>
      <c r="C85" s="36">
        <f>AVERAGE('Score Evaluation'!E23,'Score Evaluation'!E30,'Score Evaluation'!E37,'Score Evaluation'!E44,'Score Evaluation'!E51,'Score Evaluation'!E58)</f>
        <v>5</v>
      </c>
      <c r="D85" s="36">
        <f>AVERAGE('Score Evaluation'!G23,'Score Evaluation'!G30,'Score Evaluation'!G37,'Score Evaluation'!G44,'Score Evaluation'!G51,'Score Evaluation'!G58)</f>
        <v>5</v>
      </c>
      <c r="E85" s="36">
        <f>AVERAGE('Score Evaluation'!I23,'Score Evaluation'!I30,'Score Evaluation'!I37,'Score Evaluation'!I44,'Score Evaluation'!I51,'Score Evaluation'!I58)</f>
        <v>5</v>
      </c>
    </row>
    <row r="105" spans="2:3" ht="17.649999999999999" x14ac:dyDescent="0.5">
      <c r="B105" s="34" t="s">
        <v>174</v>
      </c>
    </row>
    <row r="107" spans="2:3" ht="13.9" x14ac:dyDescent="0.4">
      <c r="B107" s="35" t="s">
        <v>165</v>
      </c>
      <c r="C107" s="35" t="s">
        <v>175</v>
      </c>
    </row>
    <row r="108" spans="2:3" x14ac:dyDescent="0.35">
      <c r="B108" s="2" t="s">
        <v>3</v>
      </c>
      <c r="C108" s="37">
        <v>0.8</v>
      </c>
    </row>
    <row r="109" spans="2:3" x14ac:dyDescent="0.35">
      <c r="B109" s="2" t="s">
        <v>4</v>
      </c>
      <c r="C109" s="37">
        <v>0.4</v>
      </c>
    </row>
    <row r="110" spans="2:3" x14ac:dyDescent="0.35">
      <c r="B110" s="2" t="s">
        <v>5</v>
      </c>
      <c r="C110" s="37">
        <v>0.3</v>
      </c>
    </row>
    <row r="111" spans="2:3" x14ac:dyDescent="0.35">
      <c r="B111" s="2" t="s">
        <v>145</v>
      </c>
      <c r="C111" s="37">
        <v>0.375</v>
      </c>
    </row>
    <row r="131" spans="2:5" ht="17.649999999999999" x14ac:dyDescent="0.5">
      <c r="B131" s="34" t="s">
        <v>176</v>
      </c>
    </row>
    <row r="133" spans="2:5" ht="13.9" x14ac:dyDescent="0.4">
      <c r="B133" s="35" t="s">
        <v>165</v>
      </c>
      <c r="C133" s="35" t="s">
        <v>52</v>
      </c>
      <c r="D133" s="35" t="s">
        <v>53</v>
      </c>
      <c r="E133" s="35" t="s">
        <v>54</v>
      </c>
    </row>
    <row r="134" spans="2:5" x14ac:dyDescent="0.35">
      <c r="B134" s="2" t="s">
        <v>3</v>
      </c>
      <c r="C134" s="2">
        <v>8</v>
      </c>
      <c r="D134" s="2">
        <v>2</v>
      </c>
      <c r="E134" s="2">
        <v>0</v>
      </c>
    </row>
    <row r="135" spans="2:5" x14ac:dyDescent="0.35">
      <c r="B135" s="2" t="s">
        <v>4</v>
      </c>
      <c r="C135" s="2">
        <v>4</v>
      </c>
      <c r="D135" s="2">
        <v>5</v>
      </c>
      <c r="E135" s="2">
        <v>1</v>
      </c>
    </row>
    <row r="136" spans="2:5" x14ac:dyDescent="0.35">
      <c r="B136" s="2" t="s">
        <v>5</v>
      </c>
      <c r="C136" s="2">
        <v>3</v>
      </c>
      <c r="D136" s="2">
        <v>5</v>
      </c>
      <c r="E136" s="2">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Agent Prompt</vt:lpstr>
      <vt:lpstr>Key Decisions Evaluation</vt:lpstr>
      <vt:lpstr>MLAgentBench Evaluation</vt:lpstr>
      <vt:lpstr>Score Evaluation</vt:lpstr>
      <vt:lpstr>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Inessa Costa</cp:lastModifiedBy>
  <cp:revision/>
  <dcterms:created xsi:type="dcterms:W3CDTF">2026-03-11T16:33:08Z</dcterms:created>
  <dcterms:modified xsi:type="dcterms:W3CDTF">2026-03-19T15:16:02Z</dcterms:modified>
  <cp:category/>
  <cp:contentStatus/>
</cp:coreProperties>
</file>